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uan6\Desktop\DPS 2026\gerencias regionales\"/>
    </mc:Choice>
  </mc:AlternateContent>
  <xr:revisionPtr revIDLastSave="0" documentId="13_ncr:1_{35D9D0CB-1BF8-4446-AED4-573A0F6D5965}" xr6:coauthVersionLast="47" xr6:coauthVersionMax="47" xr10:uidLastSave="{00000000-0000-0000-0000-000000000000}"/>
  <bookViews>
    <workbookView xWindow="-108" yWindow="-108" windowWidth="23256" windowHeight="12456" xr2:uid="{23F8D9BF-A58E-4B0A-BC20-A59C04E40F6E}"/>
  </bookViews>
  <sheets>
    <sheet name="PROYECTOS EJECUCIÓN" sheetId="2" r:id="rId1"/>
  </sheets>
  <externalReferences>
    <externalReference r:id="rId2"/>
  </externalReferences>
  <definedNames>
    <definedName name="_xlnm._FilterDatabase" localSheetId="0" hidden="1">'PROYECTOS EJECUCIÓN'!$D$391:$D$391</definedName>
    <definedName name="Amazonas">#REF!</definedName>
    <definedName name="Antioquia">#REF!</definedName>
    <definedName name="Arauca">#REF!</definedName>
    <definedName name="Atlántico">#REF!</definedName>
    <definedName name="Bolívar">#REF!</definedName>
    <definedName name="Boyacá">#REF!</definedName>
    <definedName name="Caldas">#REF!</definedName>
    <definedName name="Caquetá">#REF!</definedName>
    <definedName name="Casanare">#REF!</definedName>
    <definedName name="Cauca">#REF!</definedName>
    <definedName name="Cesar">#REF!</definedName>
    <definedName name="Chocó">#REF!</definedName>
    <definedName name="Córdoba">#REF!</definedName>
    <definedName name="Cundinamarca">#REF!</definedName>
    <definedName name="Departamento">#REF!</definedName>
    <definedName name="Guainía">#REF!</definedName>
    <definedName name="Guajira">#REF!</definedName>
    <definedName name="Guaviare">#REF!</definedName>
    <definedName name="Lta_AccionVinculante">[1]!Tabla12[Accion_Vinculante]</definedName>
    <definedName name="Lta_AccVincul2">[1]!Tabla12[Accion_Vinculante]</definedName>
    <definedName name="Lta_EstadObra">[1]!Tabla10[Columna2]</definedName>
    <definedName name="Lta_EstadOObra">[1]!Tabla10[Columna2]</definedName>
    <definedName name="Lta_EstadosConvCont">[1]!Tabla11[EstadosConvCont]</definedName>
    <definedName name="Lta_ProyTer">[1]!Tabla27[Estado Proyección Terminación]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373" i="2" l="1"/>
  <c r="W9" i="2"/>
  <c r="W17" i="2"/>
  <c r="W2" i="2"/>
  <c r="W8" i="2"/>
  <c r="W7" i="2"/>
  <c r="W6" i="2"/>
  <c r="W5" i="2"/>
  <c r="W4" i="2"/>
  <c r="W3" i="2"/>
  <c r="W371" i="2"/>
  <c r="W149" i="2"/>
  <c r="W370" i="2"/>
  <c r="W369" i="2"/>
  <c r="W195" i="2"/>
  <c r="W368" i="2"/>
  <c r="W367" i="2"/>
  <c r="W366" i="2"/>
  <c r="W365" i="2"/>
  <c r="W364" i="2"/>
  <c r="W363" i="2"/>
  <c r="W362" i="2"/>
  <c r="W360" i="2"/>
  <c r="W358" i="2"/>
  <c r="W189" i="2"/>
  <c r="W357" i="2"/>
  <c r="W117" i="2"/>
  <c r="W356" i="2"/>
  <c r="W355" i="2"/>
  <c r="W359" i="2"/>
  <c r="W354" i="2"/>
  <c r="W353" i="2"/>
  <c r="W352" i="2"/>
  <c r="W121" i="2"/>
  <c r="W351" i="2"/>
  <c r="W350" i="2"/>
  <c r="W349" i="2"/>
  <c r="W348" i="2"/>
  <c r="W347" i="2"/>
  <c r="W346" i="2"/>
  <c r="W345" i="2"/>
  <c r="W344" i="2"/>
  <c r="W132" i="2"/>
  <c r="W114" i="2"/>
  <c r="W343" i="2"/>
  <c r="W330" i="2"/>
  <c r="W342" i="2"/>
  <c r="W341" i="2"/>
  <c r="W154" i="2"/>
  <c r="W340" i="2"/>
  <c r="W339" i="2"/>
  <c r="W338" i="2"/>
  <c r="W337" i="2"/>
  <c r="W81" i="2"/>
  <c r="W336" i="2"/>
  <c r="W334" i="2"/>
  <c r="W332" i="2"/>
  <c r="W329" i="2"/>
  <c r="W328" i="2"/>
  <c r="W326" i="2"/>
  <c r="W324" i="2"/>
  <c r="W320" i="2"/>
  <c r="W317" i="2"/>
  <c r="W315" i="2"/>
  <c r="W313" i="2"/>
  <c r="W312" i="2"/>
  <c r="W311" i="2"/>
  <c r="W310" i="2"/>
  <c r="W309" i="2"/>
  <c r="W327" i="2"/>
  <c r="W84" i="2"/>
  <c r="W308" i="2"/>
  <c r="W307" i="2"/>
  <c r="W306" i="2"/>
  <c r="W305" i="2"/>
  <c r="W78" i="2"/>
  <c r="W134" i="2"/>
  <c r="W304" i="2"/>
  <c r="W303" i="2"/>
  <c r="W302" i="2"/>
  <c r="W301" i="2"/>
  <c r="W300" i="2"/>
  <c r="W299" i="2"/>
  <c r="W297" i="2"/>
  <c r="W296" i="2"/>
  <c r="W295" i="2"/>
  <c r="W57" i="2"/>
  <c r="W294" i="2"/>
  <c r="W316" i="2"/>
  <c r="W293" i="2"/>
  <c r="W292" i="2"/>
  <c r="W291" i="2"/>
  <c r="W325" i="2"/>
  <c r="W155" i="2"/>
  <c r="W290" i="2"/>
  <c r="W289" i="2"/>
  <c r="W288" i="2"/>
  <c r="W287" i="2"/>
  <c r="W286" i="2"/>
  <c r="W285" i="2"/>
  <c r="W101" i="2"/>
  <c r="W105" i="2"/>
  <c r="W284" i="2"/>
  <c r="W283" i="2"/>
  <c r="W282" i="2"/>
  <c r="W281" i="2"/>
  <c r="W280" i="2"/>
  <c r="W279" i="2"/>
  <c r="W278" i="2"/>
  <c r="W277" i="2"/>
  <c r="W276" i="2"/>
  <c r="W275" i="2"/>
  <c r="W274" i="2"/>
  <c r="W273" i="2"/>
  <c r="W272" i="2"/>
  <c r="W271" i="2"/>
  <c r="W269" i="2"/>
  <c r="W268" i="2"/>
  <c r="W267" i="2"/>
  <c r="W27" i="2"/>
  <c r="W266" i="2"/>
  <c r="W265" i="2"/>
  <c r="W200" i="2"/>
  <c r="W264" i="2"/>
  <c r="W263" i="2"/>
  <c r="W314" i="2"/>
  <c r="W262" i="2"/>
  <c r="W261" i="2"/>
  <c r="W260" i="2"/>
  <c r="W259" i="2"/>
  <c r="W258" i="2"/>
  <c r="W257" i="2"/>
  <c r="W79" i="2"/>
  <c r="W256" i="2"/>
  <c r="W204" i="2"/>
  <c r="W255" i="2"/>
  <c r="W254" i="2"/>
  <c r="W253" i="2"/>
  <c r="W252" i="2"/>
  <c r="W251" i="2"/>
  <c r="W250" i="2"/>
  <c r="W190" i="2"/>
  <c r="W249" i="2"/>
  <c r="W248" i="2"/>
  <c r="W247" i="2"/>
  <c r="W246" i="2"/>
  <c r="W245" i="2"/>
  <c r="W244" i="2"/>
  <c r="W209" i="2"/>
  <c r="W243" i="2"/>
  <c r="W242" i="2"/>
  <c r="W240" i="2"/>
  <c r="W239" i="2"/>
  <c r="W174" i="2"/>
  <c r="W238" i="2"/>
  <c r="W237" i="2"/>
  <c r="W236" i="2"/>
  <c r="W235" i="2"/>
  <c r="W234" i="2"/>
  <c r="W233" i="2"/>
  <c r="W232" i="2"/>
  <c r="W231" i="2"/>
  <c r="W230" i="2"/>
  <c r="W14" i="2"/>
  <c r="W202" i="2"/>
  <c r="W70" i="2"/>
  <c r="W211" i="2"/>
  <c r="W208" i="2"/>
  <c r="W207" i="2"/>
  <c r="W206" i="2"/>
  <c r="W205" i="2"/>
  <c r="W203" i="2"/>
  <c r="W201" i="2"/>
  <c r="W198" i="2"/>
  <c r="W197" i="2"/>
  <c r="W196" i="2"/>
  <c r="W194" i="2"/>
  <c r="W193" i="2"/>
  <c r="W188" i="2"/>
  <c r="W187" i="2"/>
  <c r="W185" i="2"/>
  <c r="W41" i="2"/>
  <c r="W129" i="2"/>
  <c r="W112" i="2"/>
  <c r="W184" i="2"/>
  <c r="W173" i="2"/>
  <c r="W183" i="2"/>
  <c r="W182" i="2"/>
  <c r="W181" i="2"/>
  <c r="W186" i="2"/>
  <c r="W180" i="2"/>
  <c r="W179" i="2"/>
  <c r="W319" i="2"/>
  <c r="W177" i="2"/>
  <c r="W176" i="2"/>
  <c r="W175" i="2"/>
  <c r="W172" i="2"/>
  <c r="W171" i="2"/>
  <c r="W335" i="2"/>
  <c r="W192" i="2"/>
  <c r="W170" i="2"/>
  <c r="W322" i="2"/>
  <c r="W169" i="2"/>
  <c r="W168" i="2"/>
  <c r="W166" i="2"/>
  <c r="W165" i="2"/>
  <c r="W164" i="2"/>
  <c r="W163" i="2"/>
  <c r="W199" i="2"/>
  <c r="W162" i="2"/>
  <c r="W161" i="2"/>
  <c r="W160" i="2"/>
  <c r="W158" i="2"/>
  <c r="W331" i="2"/>
  <c r="W157" i="2"/>
  <c r="W156" i="2"/>
  <c r="W153" i="2"/>
  <c r="W152" i="2"/>
  <c r="W151" i="2"/>
  <c r="W150" i="2"/>
  <c r="W178" i="2"/>
  <c r="W147" i="2"/>
  <c r="W145" i="2"/>
  <c r="W144" i="2"/>
  <c r="W143" i="2"/>
  <c r="W142" i="2"/>
  <c r="W141" i="2"/>
  <c r="W321" i="2"/>
  <c r="W140" i="2"/>
  <c r="W139" i="2"/>
  <c r="W167" i="2"/>
  <c r="W138" i="2"/>
  <c r="W137" i="2"/>
  <c r="W136" i="2"/>
  <c r="W135" i="2"/>
  <c r="W133" i="2"/>
  <c r="W131" i="2"/>
  <c r="W298" i="2"/>
  <c r="W130" i="2"/>
  <c r="W128" i="2"/>
  <c r="W127" i="2"/>
  <c r="W126" i="2"/>
  <c r="W124" i="2"/>
  <c r="W122" i="2"/>
  <c r="W120" i="2"/>
  <c r="W119" i="2"/>
  <c r="W118" i="2"/>
  <c r="W116" i="2"/>
  <c r="W115" i="2"/>
  <c r="W333" i="2"/>
  <c r="W212" i="2"/>
  <c r="W270" i="2"/>
  <c r="W241" i="2"/>
  <c r="W113" i="2"/>
  <c r="W111" i="2"/>
  <c r="W110" i="2"/>
  <c r="W109" i="2"/>
  <c r="W108" i="2"/>
  <c r="W107" i="2"/>
  <c r="W106" i="2"/>
  <c r="W104" i="2"/>
  <c r="W103" i="2"/>
  <c r="W102" i="2"/>
  <c r="W59" i="2"/>
  <c r="W99" i="2"/>
  <c r="W98" i="2"/>
  <c r="W97" i="2"/>
  <c r="W96" i="2"/>
  <c r="W210" i="2"/>
  <c r="W95" i="2"/>
  <c r="W94" i="2"/>
  <c r="W93" i="2"/>
  <c r="W92" i="2"/>
  <c r="W100" i="2"/>
  <c r="W91" i="2"/>
  <c r="W90" i="2"/>
  <c r="W88" i="2"/>
  <c r="W87" i="2"/>
  <c r="W86" i="2"/>
  <c r="W191" i="2"/>
  <c r="W85" i="2"/>
  <c r="W83" i="2"/>
  <c r="W82" i="2"/>
  <c r="W80" i="2"/>
  <c r="W77" i="2"/>
  <c r="W76" i="2"/>
  <c r="W75" i="2"/>
  <c r="W74" i="2"/>
  <c r="W73" i="2"/>
  <c r="W72" i="2"/>
  <c r="W71" i="2"/>
  <c r="W361" i="2"/>
  <c r="W69" i="2"/>
  <c r="W68" i="2"/>
  <c r="W67" i="2"/>
  <c r="W66" i="2"/>
  <c r="W64" i="2"/>
  <c r="W159" i="2"/>
  <c r="W63" i="2"/>
  <c r="W62" i="2"/>
  <c r="W61" i="2"/>
  <c r="W60" i="2"/>
  <c r="W58" i="2"/>
  <c r="W56" i="2"/>
  <c r="W55" i="2"/>
  <c r="W54" i="2"/>
  <c r="W53" i="2"/>
  <c r="W52" i="2"/>
  <c r="W148" i="2"/>
  <c r="W51" i="2"/>
  <c r="W65" i="2"/>
  <c r="W50" i="2"/>
  <c r="W49" i="2"/>
  <c r="W48" i="2"/>
  <c r="W47" i="2"/>
  <c r="W46" i="2"/>
  <c r="W45" i="2"/>
  <c r="W44" i="2"/>
  <c r="W43" i="2"/>
  <c r="W42" i="2"/>
  <c r="W40" i="2"/>
  <c r="W146" i="2"/>
  <c r="W39" i="2"/>
  <c r="W38" i="2"/>
  <c r="W89" i="2"/>
  <c r="W37" i="2"/>
  <c r="W125" i="2"/>
  <c r="W36" i="2"/>
  <c r="W35" i="2"/>
  <c r="W34" i="2"/>
  <c r="W33" i="2"/>
  <c r="W32" i="2"/>
  <c r="W31" i="2"/>
  <c r="W29" i="2"/>
  <c r="W28" i="2"/>
  <c r="W26" i="2"/>
  <c r="W25" i="2"/>
  <c r="W24" i="2"/>
  <c r="W23" i="2"/>
  <c r="W22" i="2"/>
  <c r="W21" i="2"/>
  <c r="W20" i="2"/>
  <c r="W323" i="2"/>
  <c r="W19" i="2"/>
  <c r="W18" i="2"/>
  <c r="W16" i="2"/>
  <c r="W15" i="2"/>
  <c r="W13" i="2"/>
  <c r="W12" i="2"/>
  <c r="W11" i="2"/>
  <c r="W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tc={96902742-9057-4988-9B86-95C3B3C9DF43}</author>
    <author>tc={DE0236E9-A2DF-45EB-8CF8-4AE50F44D047}</author>
    <author>tc={BE5E0D56-F360-7542-94B1-71CC221BB2F3}</author>
    <author>tc={F7E47400-5D24-4D4D-A8BB-A0E0F0F5FEB3}</author>
    <author>tc={8E794FDA-7019-4CFA-8D7B-5B7B81BB8046}</author>
    <author>tc={53DD466A-696D-4474-A2EF-FDABE88AC900}</author>
    <author>tc={BFC7234D-9A59-1F4C-BAC0-5EF2257718CC}</author>
    <author>tc={308E3DE2-EFC0-4EBA-B72D-2A4B71021853}</author>
    <author>tc={92FFFDE4-92C5-4EA6-BED2-287D1DD6240C}</author>
    <author>tc={ED40AF62-0CA1-432A-AEC6-38E308B8DA8F}</author>
    <author>tc={DB98816F-490E-42FD-8B1F-063A15119060}</author>
    <author>tc={3B01AA57-083B-40FB-8ACD-F1F060036C1A}</author>
    <author>tc={77821711-A1C1-460B-8511-602502A8AD52}</author>
    <author>tc={09F3D050-5301-4384-9BCF-4CB1C392BE90}</author>
  </authors>
  <commentList>
    <comment ref="Z1" authorId="0" shapeId="0" xr:uid="{789E7AAB-3793-48D1-A1ED-7409B4CF1C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@Natalia Alfonso Monroy por favor actualizar beneficiarios desde imagen remitida</t>
        </r>
      </text>
    </comment>
    <comment ref="U11" authorId="1" shapeId="0" xr:uid="{0BDC7056-0F25-40E8-A2D4-C66A9636BE6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Sebastian Torres Lombana en estos que terminaron anticipado, debemnos dejar solo el valor que efectivamente se reconoció.</t>
        </r>
      </text>
    </comment>
    <comment ref="S18" authorId="2" shapeId="0" xr:uid="{F8682552-DCEA-41D1-8497-130461A8391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@Juan Sebastian Torres Lombana indicar porcentaje de ejecucion obra
Reply:
    Corregido</t>
        </r>
      </text>
    </comment>
    <comment ref="U19" authorId="3" shapeId="0" xr:uid="{CC3258FB-CE34-4EE2-960E-3A76B16F02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Sebastian Torres Lombana @Luisa Fernanda Llano Arroyave  (por favlor incluir pagado)</t>
        </r>
      </text>
    </comment>
    <comment ref="U25" authorId="4" shapeId="0" xr:uid="{CB0511E8-53C9-4E66-921F-8F2E74D6E46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Sebastian Torres Lombana @Luisa Fernanda Llano Arroyave agradezco confirmar valor pagado </t>
        </r>
      </text>
    </comment>
    <comment ref="X25" authorId="5" shapeId="0" xr:uid="{607B3893-2B66-47F5-8271-3C210F52A48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Sebastian Torres Lombana @Luisa Fernanda Llano Arroyave agradezco confirmar valor pagado </t>
        </r>
      </text>
    </comment>
    <comment ref="AA27" authorId="6" shapeId="0" xr:uid="{4B7A13F9-C855-4E6E-932E-90AC6AEFC97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@Juan Sebastian Torres Lombanaverificar con supervision que falta para recibo y av 3</t>
        </r>
      </text>
    </comment>
    <comment ref="U40" authorId="7" shapeId="0" xr:uid="{3AC23953-9FB0-4C1E-86E1-AAFB69E4304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Sebastian Torres Lombana @Luisa Fernanda Llano Arroyave  Agradezco confirmar valor pagado del convenio. </t>
        </r>
      </text>
    </comment>
    <comment ref="X40" authorId="8" shapeId="0" xr:uid="{526A43EB-530E-49E5-B25B-5D4F0275F37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Sebastian Torres Lombana @Luisa Fernanda Llano Arroyave  Agradezco confirmar valor pagado del convenio. </t>
        </r>
      </text>
    </comment>
    <comment ref="Y40" authorId="9" shapeId="0" xr:uid="{FB92EEE0-6F6B-42B0-9F41-024CAC7324C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Sebastian Torres Lombana @Luisa Fernanda Llano Arroyave  Agradezco confirmar valor pagado del convenio. </t>
        </r>
      </text>
    </comment>
    <comment ref="Q43" authorId="10" shapeId="0" xr:uid="{0F944651-77BA-4D40-B981-5F10063E3B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Sebastian Torres Lombana  Este proyecto está terminado sin terminar; proyecto ID 17092 es el ID nuevo “Terminación de la plaza de mercado”
Reply:
    Corregido</t>
        </r>
      </text>
    </comment>
    <comment ref="U52" authorId="11" shapeId="0" xr:uid="{7B59D5AD-040C-4CA2-BCD4-D04239380F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 Sebastian Torres Lombana @Luisa Fernanda Llano Arroyave (agradezco incluir valor pagado)</t>
        </r>
      </text>
    </comment>
    <comment ref="J230" authorId="12" shapeId="0" xr:uid="{C3184F91-1D76-41B1-B638-959C9A6895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@Diego Esteban Alvira Vidal falta divipola</t>
        </r>
      </text>
    </comment>
    <comment ref="A289" authorId="13" shapeId="0" xr:uid="{345A35E1-39A8-4554-ABDC-19129D2F17A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@Ginna Mercedes Toro Vallejos Ginna por favor confirmanos cual es el numero de proyectos en ejecución en el marco de 069
Reply:
    A la fecha se encuentran vigentes los siguientes proyectos: 
1. Puerto Libertador - Córdoba. Pendiente energización estación de bombeo
2. San Carlos - Córdoba. Pendiente energización estación de bombeo
3. Argelia - Cauca. En fase de alistamiento y contratación de las obras
4. Anapoima - Cundinamarca. En proceso contractual para adjudicación de contrato de obras
5. Nuquí - Chocó. En proceso de aprobación de ítems no previstos. Suspendida
6. Buenaventura - Valle. Pendiente visita de pertinencia para activación de ruta de estudios y diseños
7. Buenaventura - Valle. Pendiente visita de pertinencia para activación de ruta de estudios y diseños
8. Tadó - Chocó. Pendiente visita de pertinencia para complementar el expediente
9. Bagadó - Chocó. Pendiente visita de pertinencia para complementar el expediente
10. Cucutá - NDS. En definición del alcance dado que requiere asamblea de propietarios para aprobación de cambio de uso
</t>
        </r>
      </text>
    </comment>
  </commentList>
</comments>
</file>

<file path=xl/sharedStrings.xml><?xml version="1.0" encoding="utf-8"?>
<sst xmlns="http://schemas.openxmlformats.org/spreadsheetml/2006/main" count="6534" uniqueCount="1181">
  <si>
    <t>GRUPO</t>
  </si>
  <si>
    <t>Número</t>
  </si>
  <si>
    <t>ID DEL PROYECTO</t>
  </si>
  <si>
    <t>VIGENCIA PROYECTO</t>
  </si>
  <si>
    <t>SUPERVISOR</t>
  </si>
  <si>
    <t>Número de Convenio.</t>
  </si>
  <si>
    <t>FECHA INICIO CONVENIO</t>
  </si>
  <si>
    <t>FECHA TERMINACIÓN CONVENIO</t>
  </si>
  <si>
    <t>Departamento.</t>
  </si>
  <si>
    <t>Divipola</t>
  </si>
  <si>
    <t>Municipio.</t>
  </si>
  <si>
    <t xml:space="preserve">Sector </t>
  </si>
  <si>
    <t xml:space="preserve">Tipología </t>
  </si>
  <si>
    <t>NOMBRE PROYECTO</t>
  </si>
  <si>
    <t>Estado Convenio</t>
  </si>
  <si>
    <t>Estado Contrato Obra</t>
  </si>
  <si>
    <t xml:space="preserve">Ejecución Fisica Estandar </t>
  </si>
  <si>
    <t>Sub Estado Ejecución</t>
  </si>
  <si>
    <t>Ejecución Fisica</t>
  </si>
  <si>
    <t>Ejecución Programada</t>
  </si>
  <si>
    <t>Valor Proyecto Inicial.</t>
  </si>
  <si>
    <t>Valor Proyecto Final</t>
  </si>
  <si>
    <t>Ejecución Financiera</t>
  </si>
  <si>
    <t>VALOR DESEMBOLSOS PROYECTO</t>
  </si>
  <si>
    <t>INTERVENTORIA</t>
  </si>
  <si>
    <t>Beneficiarios</t>
  </si>
  <si>
    <t>MCH</t>
  </si>
  <si>
    <t>ALERTA TECNICA - CUELLOS DE BOTELLA - ACCIONES CORRECTIVAS</t>
  </si>
  <si>
    <t>RUTA</t>
  </si>
  <si>
    <t>PDET-ZOMAC</t>
  </si>
  <si>
    <t>Latitud</t>
  </si>
  <si>
    <t>Longitud</t>
  </si>
  <si>
    <t>GERENCIA REGIONAL</t>
  </si>
  <si>
    <t>MACROREGIÓN</t>
  </si>
  <si>
    <t>PROYECTOS ENTERRITORIO 911-2024</t>
  </si>
  <si>
    <t>JUAN PABLO ANGULO BLANCO</t>
  </si>
  <si>
    <t>911-FIP-2024</t>
  </si>
  <si>
    <t>CHOCÓ</t>
  </si>
  <si>
    <t>ACANDÍ</t>
  </si>
  <si>
    <t>VÍAS</t>
  </si>
  <si>
    <t>Infraestructura Fluvial</t>
  </si>
  <si>
    <t xml:space="preserve">Contratar Estudios, diseños y Construcción de muelle fluvial en el municipio de Acandí - Chocó. </t>
  </si>
  <si>
    <t>EN EJECUCIÓN</t>
  </si>
  <si>
    <t>ADJUDICADO</t>
  </si>
  <si>
    <t>Por Iniciar Ejecución Fisica</t>
  </si>
  <si>
    <t>Proceso Contato de interventoría adjudicado, proceso para contratación de obra Publicado en SECOP II</t>
  </si>
  <si>
    <t>2026-07-31 Pendiente legalización de contrato de interventoria y adjudicación de contrato de Obra
2026-06-30 Pendiente legalización de contrato de interventoria y adjudicación de contrato de Obra
2026-06-01 Se envío oficio S-2026-10000-077734  con Requerimiento urgente y advertencia frente a los reiterados retrasos en la estructuración, publicación y avance de procesos contractuales.
2026-05-11 Se han declarado desierto / fallidos los proyectos de:​ Malecón Suarez (Cauca) - Consultoría, Muelle Necoclí (Antioquia) - Interventoría​, Muelle Acandí (Chocó) - Interventoría​, Comedor Escolar María La Baja (Bolívar) - Obra e Interventoría, Pavimentación El Charco - Nariño - Interventoría​.
2026-04-20 El proceso de interventoría fue declarado fallido el 31/03/2026 al no resultar ninguna oferta habilitada, el contratista de consultoría y obra, manifiesta la no continuidad del proceso de suscripcion del contrato debido a la no existencia de soporte jurídico, técnico o financiero y el cambio e la vigencia, en ese sentido el dia 06/04/2026 se publica en secop  el acta de no celebracion del contrato, los procesos de consultoria y obra y de interventoríase encuentran  en proceso para nueva publicación.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Se publicó el proceso de contratación de la interventoría en la plataforma SECOP II el día 10/03/2026 
2026-02-16. Se realizó envío de oficio de radicado No. S-2026-10000-019960, por presunto incumpliminto contractual de ENterritorio.</t>
  </si>
  <si>
    <t>PDET</t>
  </si>
  <si>
    <t>GR URABA</t>
  </si>
  <si>
    <t>OCCIDENTE</t>
  </si>
  <si>
    <t>CONVENIOS VIGENCIAS (2021-2022)</t>
  </si>
  <si>
    <t>OSCAR ALONSO HINCAPIE MESA</t>
  </si>
  <si>
    <t>269-FIP-2015</t>
  </si>
  <si>
    <t>ATLÁNTICO</t>
  </si>
  <si>
    <t>JUAN DE ACOSTA</t>
  </si>
  <si>
    <t>SOCIAL COMUNITARIO</t>
  </si>
  <si>
    <t>Plan maestro de alcantarillado</t>
  </si>
  <si>
    <t>VENCIDO</t>
  </si>
  <si>
    <t>TERMINADO</t>
  </si>
  <si>
    <t>Terminado</t>
  </si>
  <si>
    <t>TERMINACIÓN ANTICIPADA</t>
  </si>
  <si>
    <t>Vencido</t>
  </si>
  <si>
    <t>NO</t>
  </si>
  <si>
    <t>GR ATLÁNTICO</t>
  </si>
  <si>
    <t>CARIBE</t>
  </si>
  <si>
    <t>CONVENIOS VIGENCIAS (2021-2022) - COOPERACIÓN</t>
  </si>
  <si>
    <t>LUIS ALBERTO COQUECO GARCIA</t>
  </si>
  <si>
    <t>456-FIP-2017</t>
  </si>
  <si>
    <t>VALLE DEL CAUCA</t>
  </si>
  <si>
    <t>SEVILLA</t>
  </si>
  <si>
    <t>PRODUCTIVO Y SEG ALIMENTARIA</t>
  </si>
  <si>
    <t>Plaza de Mercado</t>
  </si>
  <si>
    <t>Remodelación Plaza de Mercado Municipio de Sevilla - Valle del Cauca</t>
  </si>
  <si>
    <t>Ruta convenio de Cooperación</t>
  </si>
  <si>
    <t>GR VALLE DEL CAUCA</t>
  </si>
  <si>
    <t>PACÍFICO</t>
  </si>
  <si>
    <t>CUNDINAMARCA</t>
  </si>
  <si>
    <t>HÁBITAT</t>
  </si>
  <si>
    <t>Entregado</t>
  </si>
  <si>
    <t>GR CUNDINAMARCA</t>
  </si>
  <si>
    <t>CENTRO SUR</t>
  </si>
  <si>
    <t>557-FIP-2017</t>
  </si>
  <si>
    <t>FLORIDA</t>
  </si>
  <si>
    <t>Escenarios deportivos</t>
  </si>
  <si>
    <t>Construcción de coliseo parque bosque municipio de Florida - Valle del Cauca</t>
  </si>
  <si>
    <t>Frente a terminación sin culminación de obras, se requiere suscribir vehiculo o memorando de entendimiento para terminación de proyecto con recursos vegencia 2026. la segunda etapa del proyecto se esta financiando a traves de Enterritorio 911</t>
  </si>
  <si>
    <t>JHON HAROLD DE LA PARRA VALLEJO</t>
  </si>
  <si>
    <t>633-FIP-2021</t>
  </si>
  <si>
    <t>NARIÑO</t>
  </si>
  <si>
    <t>SAN LORENZO</t>
  </si>
  <si>
    <t>Construcción De Plaza De Mercado En La Cabecera Municipal De San Lorenzo - Nariño</t>
  </si>
  <si>
    <t>GR NARIÑO</t>
  </si>
  <si>
    <t>FELIPE GAVIRIA</t>
  </si>
  <si>
    <t>599-FIP-2021</t>
  </si>
  <si>
    <t>DAGUA</t>
  </si>
  <si>
    <t>Diseño Y Remodelación Del Espacio Público E Interiores De La Plaza De Mercado Del Municipio De Dagua - Valle Del Cauca</t>
  </si>
  <si>
    <t>ZOMAC</t>
  </si>
  <si>
    <t>CAROLINA PIEDRAHITA MONTOYA</t>
  </si>
  <si>
    <t>621-FIP-2021</t>
  </si>
  <si>
    <t>CANDELARIA</t>
  </si>
  <si>
    <t>VIAS URBANAS</t>
  </si>
  <si>
    <t>Mejoramiento En Pavimento Rígido De La Malla Vial Urbana Numero 3 Ubicada En El Municipio De Candelaria - Atlántico</t>
  </si>
  <si>
    <t>2026-05-12. No ha sido posible programar la Auditoría Visible No. 3 hasta tanto se cuente con el acta de entrega emitida por la interventorí
Pendientes actas por suscribir y plan de sostenibilidad. No se ha programado aún, el contratista seencuentra ejecutando unas observaciones pendientes. El apoyo social se reintegra de sus vacacionees a finales del mes de enero para realizar mesa de trabajo y programar la AV3. Se está actualizando el plan de sostenibilidad.</t>
  </si>
  <si>
    <t>RAFAEL ENRIQUE ZÚÑIGA MELENDEZ</t>
  </si>
  <si>
    <t>391-FIP-2021</t>
  </si>
  <si>
    <t>SANTANDER</t>
  </si>
  <si>
    <t>CAPITANEJO</t>
  </si>
  <si>
    <t>Construcción De La Plaza De Mercado Del Municipio De Capitanejo - Santander</t>
  </si>
  <si>
    <t>2026-04-28. Como resultado de las mesas técnico-jurídicas, se definió como ruta de acción la liquidación bilateral inmediata del convenio interadministrativo.
2026-04-14. En análisis la viabilidad de liquidación bilateral, condicionado a la revisión de la liquidación unilateral del contrato de obra por parte del municipio (información solicitada). 
2026-03-09. Proyecto en etapa de diagnóstico por parte de E.T. con el objetivo de conocer el estado actual de la obra.
2026-02-16. Convenio en análisis a causa de que se adelanta proceso de incumplimiento con el convenio original (391 FIP 2021).</t>
  </si>
  <si>
    <t>GR SANTANDER</t>
  </si>
  <si>
    <t>NORORIENTE</t>
  </si>
  <si>
    <t>LA GUAJIRA</t>
  </si>
  <si>
    <t>ALBANIA</t>
  </si>
  <si>
    <t>GR GUAJIRA</t>
  </si>
  <si>
    <t>CONVENIOS COOPERACION</t>
  </si>
  <si>
    <t>FABIAN MAURICIO TORO</t>
  </si>
  <si>
    <t>337-DPS-2025</t>
  </si>
  <si>
    <t>ALCALÁ</t>
  </si>
  <si>
    <t>TERMINACIÓN "CONSTRUCCIÓN DE LA PLAZA DE MERCADO MUNICIPAL DE ALCALÁ - VALLE DEL CAUCA" DEL CONVENIO INICIAL # 523-FIP-2021, ID PROYECTO # 12823</t>
  </si>
  <si>
    <t>SUSCRITO</t>
  </si>
  <si>
    <t>N/A</t>
  </si>
  <si>
    <t>En estructuración</t>
  </si>
  <si>
    <t>2026-05-19. Pendientes remitir documentación para iniciar proceso de liquidación de convenio inicial.
2026-04-28. Resultado de las mesas técnico-Jurídica se determinó ruta de Subsanación de condiciones para liquidación del convenio interadministrativo.
2026-04-14. Requiere evaluación patológica para determinar estado de la infraestructura. Cuenta con visita de pertinencia. Se recomendó continuar con la liquidación del convenio. 
2026-03-09. Proyecto se encuentra en etapa de diagnóstico por parte de E.T. con el objetivo de conocer el estado actual de la obra.
2025-02-16. Se plantea la realización de visita técnica para diagnóstico y pertinencia.</t>
  </si>
  <si>
    <t>530-FIP-2021</t>
  </si>
  <si>
    <t>RISARALDA</t>
  </si>
  <si>
    <t>QUINCHÍA</t>
  </si>
  <si>
    <t>VIAS RURALES</t>
  </si>
  <si>
    <t>Construcción Placa Huella En Vías Tercer Orden, Fase 1 En El Municipio De Quinchía - Risaralda</t>
  </si>
  <si>
    <t>2026-05-07. Aunque el plazo contractual del contrato de obra finalizó y la interventoría proyectó el Acta de Entrega y Recibo Final, la Entidad Territorial no ha procedido con su suscripción, debido a reclamaciones formuladas por la comunidad relacionadas con la funcionalidad de algunas actividades ejecutadas. La E.T. condicionó la firma del acta a la subsanación de dichas observaciones. Por su parte, el contratista de obra manifestó que las observaciones no corresponden al alcance de su objeto contractual, razón por la cual la Entidad Territorial adelanta actuaciones por presunto incumplimiento. En consecuencia, no ha sido posible realizar la AV3 ni tramitar el pago final por pasivo exigible. Frente a esta situación, se han remitido múltiples alertas a la E.T. sobre un posible incumplimiento del convenio, sin obtener respuesta concluyente. Adicionalmente, durante la presente semana se solicitó la asignación de apoyo jurídico para evaluar el inicio de actuaciones por presunto incumplimiento.</t>
  </si>
  <si>
    <t>GR RISARALDA</t>
  </si>
  <si>
    <t>UNGUÍA</t>
  </si>
  <si>
    <t>Construcción De Pavimento En Concreto Rígido En La Cabecera Municipal De Ungía Chocó</t>
  </si>
  <si>
    <t>PROCESO LICITATORIO</t>
  </si>
  <si>
    <t>Proceso de obra publicado en SECOP II, Proceso de interventoría pendiente de Publicación en SECOP II</t>
  </si>
  <si>
    <t>2026-07-31 Proceso para la contratración de obra publicado en SECOP II, Proceso para la contratación de interventoría pendiente de Publicación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t>
  </si>
  <si>
    <t>603-FIP-2021</t>
  </si>
  <si>
    <t>PASTO</t>
  </si>
  <si>
    <t>Mejoramiento De Vías Urbanas En Once Se Tores Del Municipio De Pasto - Nariño</t>
  </si>
  <si>
    <t>Frente a terminación sin culminación de obras, se adelanto ruta de convenio de cooperación y se suscribó convenio 2026 sin recursos. Por otra parte la segunta etapa para terminar el proyecto se incluyó su financiación mediante contrato enterritorio 911-2024 con recursos 2026</t>
  </si>
  <si>
    <t xml:space="preserve">GLORIA SOFÍA BUSTAMANTE </t>
  </si>
  <si>
    <t>704-FIP-2021</t>
  </si>
  <si>
    <t>CÓRDOBA</t>
  </si>
  <si>
    <t>SAN BERNARDO DEL VIENTO</t>
  </si>
  <si>
    <t>Construcción De Pavimento En Concreto Rígido De La Cra 9 Entre Clls 9 Y 6A. Cll 9 Entre Cra 9 Y 10 Y De La Cra 11 Entre Clls 9 Y 7 Del Casco Urbano Del Municipio De San Bernardo Del Viento - Córdoba</t>
  </si>
  <si>
    <t>2026-07-14. Aún no se ha realizado la Auditoría Visible No. 3, dado que se encuentra pendiente la remisión del Acta de Entrega y Recibo Final por parte de la Entidad Territorial.
2026-06-10. Se encuentra en revisión de los documentos dubsanados por la E.T. en medio del proceso de maduración.
2026-05-12. Aún no se ha realizado la Auditoría Visible No. 3, dado que se encuentra pendiente la remisión del Acta de Entrega y Recibo Final por parte de la Entidad Territorial.
Finalizando detalles para firma de acta de entrega y recibo a satisfaccion. Contrato de obra terminado 23 de diiciembre de 2025. Tiene pendiente visita de la supervision del convenio</t>
  </si>
  <si>
    <t>GR CÓRDOBA</t>
  </si>
  <si>
    <t>566-FIP-2021</t>
  </si>
  <si>
    <t>Construcción De La Pavimentación En Concreto Rígido De La Malla Vial De Corregimiento De Carreto Municipio De Candelaria - Atlántico</t>
  </si>
  <si>
    <t>2025-05-12. Se realizó la Auditoría Visible No. 3 el día 10 de diciembre, dando cumplimiento a esta etapa de seguimiento del proyecto.</t>
  </si>
  <si>
    <t>MAGDALENA</t>
  </si>
  <si>
    <t>GR MAGDALENA</t>
  </si>
  <si>
    <t>CARLOS ANDRES NUÑEZ ALVAREZ</t>
  </si>
  <si>
    <t>658-FIP-2021</t>
  </si>
  <si>
    <t>BOYACÁ</t>
  </si>
  <si>
    <t>SOATÁ</t>
  </si>
  <si>
    <t>Remodelación Adecuación Y Mejoramiento De La Plaza De Mercado De Soata - Boyacá</t>
  </si>
  <si>
    <t>2026-06-10. Persisten compromisos pendientes por parte de la interventoría, algunos de los cuales ya fueron atendidos y otros continúan en seguimiento. Para el día de mañana se tiene prevista mesa de seguimiento con la CGR, así como reunión con Prosperidad Social, la Entidad Territorial y la interventoría</t>
  </si>
  <si>
    <t>GR BOYACÁ</t>
  </si>
  <si>
    <t>DIANA ESMERALDA CAYCEDO</t>
  </si>
  <si>
    <t>473-FIP-2021</t>
  </si>
  <si>
    <t>TOLIMA</t>
  </si>
  <si>
    <t>PIEDRAS</t>
  </si>
  <si>
    <t>Construcción De La Plaza De Mercado En El Casco Urbano Municipio De Piedras - Tolima</t>
  </si>
  <si>
    <t>GR TOLIMA</t>
  </si>
  <si>
    <t>EDWIN LEONARDO PEREZ NIEL</t>
  </si>
  <si>
    <t>344-FIP-2021</t>
  </si>
  <si>
    <t>HUILA</t>
  </si>
  <si>
    <t>SUAZA</t>
  </si>
  <si>
    <t>Construcción Galería Agropecuaria Valle De Las Orquídeas Del Municipio De Suaza - Huila</t>
  </si>
  <si>
    <t>SUSPENDIDO</t>
  </si>
  <si>
    <t>En Ejecución Fisica</t>
  </si>
  <si>
    <t>2026-08-19. La interventoría inició el 31 de julio de 2026; sin embargo, el contrato de obra permanecía suspendido mientras la interventoría culminaba la revisión de la información previa de ejecución. El avance físico se mantiene en 59,17 % y se tenía previsto formalizar el reinicio el 19 de agosto. Al contrato de obra le restaban 24 días de plazo y se proyectaba una prórroga por tres meses, que llevaría la terminación estimada al 13 de diciembre de 2026, condicionada a la fecha efectiva de reinicio.
2026-07-30. El proyecto mantiene un avance físico del 59,17%, sin ejecución adicional debido a que el contrato de obra continúa pendiente de reinicio. La Entidad Territorial contrató la nueva interventoría el 29 de julio de 2026.
Actualmente se adelanta la elaboración del acta de reinicio del contrato de obra y, posteriormente, deberá efectuarse la actualización y aprobación de las pólizas correspondientes. No se reportan alertas técnicas, administrativas, contractuales, financieras, jurídicas o de plazo que impidan la reactivación del proyecto. Permanecen como pendientes inmediatos la formalización del reinicio, la actualización de las garantías y el inicio efectivo de actividades por parte de la obra y la interventoría.
2026-07-21. La Galería Agropecuaria mantiene el avance físico de referencia de 59,17%. El desembolso para la contratación de la interventoría se realizó el 10 de junio de 2026, por lo que la entidad territorial se encuentra dentro del plazo de dos meses para adelantar dicha contratación; una vez se cuente con interventoría contratada, se podrá formalizar el reinicio del contrato de obra. No se reportan alertas técnicas, administrativas o contractuales en este momento; sin embargo, se mantiene seguimiento al cumplimiento del plazo para contratar la interventoría, dado que de no lograrse dentro del término previsto podría configurarse una posible situación de incumplimiento por parte del ente territorial.
2026-07-16. La Galería Agropecuaria tiene avance físico de 59,17%, reformulación aprobada y prórroga hasta el 31 de diciembre de 2026. Tras el desembolso del 10 de junio para interventoría, quedan pendientes la contratación de interventoría, reinicio de obra y ejecución del 40,83% restante.
2026-06-10. Se solicitó al área de Cuentas por Pagar realizar el desembolso correspondiente a los recursos destinados a la contratación de la interventoría a cargo del municipio. De acuerdo con la información recibida, se estima que el desembolso podría efectuarse el día de mañana, permitiendo a la Entidad Territorial iniciar el proceso de contratación correspondiente.
2026-05-19. Ya se firmó y quedó en firme modificación de prórroga con plazo hasta 31/12/2026.
2026-05-12.Posterior al comité de contratación, se radicó la solicitud de modificación contractual y prórroga del convenio. No obstante, el área de Contratos solicitó presentar un alcance al documento, con el fin de incorporar una precisión adicional requerida para continuar el trámite. Se advierte como alerta que la suspensión vigente vence el 15 de mayo y, a la fecha, la prórroga del convenio aún no ha sido formalizada.
2026-05-04. El 29 de abril de 2026 se formalizó la ampliación de la suspensión No. 3 hasta el 15 de mayo. Posteriormente, el 30 de abril se llevó a cabo comité de contratación, en el cual se aprobó la modificación y prórroga del convenio. Actualmente, se remitió a la Dra. Adriana el borrador de la solicitud de prórroga y ajuste de cláusulas, encontrándose en revisión. Una vez se cuente con su validación, se procederá a radicar ante el área de Contratos la solicitud de modificación y prórroga del convenio hasta el 31 de diciembre de 2026.
2026-04-27. EL día de hoy se llevará a cabo el comité de contrratación.
2026-04-21. Se llevó a cabo la audiencia de mesa de arreglo directo la semana pasada, en ella se aprobó la apropiación presupuestal para la ejecución de la obra, se aprobaron los recursos para la interventoría, la cual será contratada por el Ente Territorial. Se aprobó la prórroga del convenio por 7 meses, dos para contratar interventoría, 4 ejecución de obra y 1 cierre contractual,  se está a la espera de que se firme el acta de la mesa, se está en la solicitud del CDP para la interventoría y dando un alcance a la solicitud de cdp para los recursos del contrato de obra.
2026-03-09.  El día 06-03-2026 se remitió respuesta por parte de E.T. hacia la interventoría, esta se comprometió a enviar solicitud de viabilidad en el transcurso de esta semana para manifestar su posición frente a la solicitud de adherir este proyecto a su interventoría. Actualmente se está en ruta de imputación presupuestal con el objetivo de viabilizar la prórroga al convenioy la continuación de las obras.
2026-02-24. Se está revisando algunas de las dudas planteadas por la Interventoría para poder viabilizar la asignación del convenio a la interventoría.
2025-02-16. Proyecto sigue suspendido por reasignación de interventoría (411 FIP 2021). Se planea extender la suspensión del convenio hasta 31-03-2026, dependiendo del tiempo que tarde la reasignación de la interventoría.
2025-02-09. Suspendido hasta 28 de febrero de 2026, Sin asignación de interventoría aún. Se plantea asignar proyecto a Interventorría MEDINA &amp; RIVERA INGENIEROS ASOCIADOS SAS, sin embargo esta última ha manifestado no aceptar la asignación del proyecto hasta no contar con el CDP firmado para garantizar el recurso.</t>
  </si>
  <si>
    <t>GR HUILA</t>
  </si>
  <si>
    <t>ALGECIRAS</t>
  </si>
  <si>
    <t>RODOLFO TORRES CASTELLANOS</t>
  </si>
  <si>
    <t>639-FIP-2021</t>
  </si>
  <si>
    <t>NORTE DE SANTANDER</t>
  </si>
  <si>
    <t>CUCUTILLA</t>
  </si>
  <si>
    <t>Construcción De Vías En Concreto Rígido Para El Municipio De Cucutilla - Norte De Santander</t>
  </si>
  <si>
    <t>2026-05-12. La Auditoría Visible No. 3 se realizó el 16 de octubre de 2025.</t>
  </si>
  <si>
    <t>GR NORTE DE SANTANDER</t>
  </si>
  <si>
    <t>CRISTYAN CABRERA</t>
  </si>
  <si>
    <t>518-FIP-2021</t>
  </si>
  <si>
    <t>GUAVIARE</t>
  </si>
  <si>
    <t>SAN JOSÉ DEL GUAVIARE</t>
  </si>
  <si>
    <t>Construcción De La Plaza De Mercado Del Barrio Porvenir En El Municipio De San Jose Del Guaviare - Guaviare</t>
  </si>
  <si>
    <t>2026-06-10. El 10/06/2026 se remitió desde la supervisión a la Oficina de Contratos el memorando No. M-2026-40207-027338 con asunto "Solicitud de tramites de reclamación de seguro y otros según Aviso de Siniestro - Póliza de Cumplimiento No. 620-47-994000043380. Convenio No. 518 FIP 2021 celebrado entre PROSPERIDAD SOCIAL – FIP y la ENTIDAD TERRITORIAL (San José del Guaviare – Guaviare)."
2026-05-26. Al 25 de mayo de 2026, la supervisión del convenio continúa elaborando los informes y memorandos requeridos para adelantar, en articulación con la Oficina de Contratos, el trámite de reclamación ante la aseguradora. En la misma fecha, la Oficina de Control Interno remitió a la Contraloría General de la República el comunicado No. S-2026-10200-075698, relacionado con la atención del compromiso derivado de la Mesa de Diálogo del 13 de mayo de 2026 sobre el proyecto Plaza de Mercado de San José del Guaviare.
2026-05-19. El 30 de abril de 2026, la Entidad Territorial no aceptó el trámite de ampliación de la suspensión, razón por la cual finalizó el plazo de ejecución del convenio. El 8 de mayo de 2026 se remitió a la Aseguradora Solidaria el comunicado No. S-2026-40204-066822, correspondiente al aviso de siniestro de la póliza de cumplimiento No. 620-47-994000043380. Posteriormente, el 13 de mayo de 2026 se realizó mesa de diálogo con la Contraloría General de la República, en la cual el ente de control informó que, dado el estado del convenio, adelantaría el proceso de denuncia correspondiente. A la fecha, la supervisión continúa elaborando los informes y memorandos requeridos para gestionar la reclamación ante la aseguradora, en articulación con la Oficina de Contratos. Se encuentra pendiente la definición de la ruta de trabajo del convenio, para lo cual se requiere mesa técnica entre la Dirección de Infraestructura y Hábitat, la Oficina de Contratos y la Oficina Jurídica.
2026-05-12. El 30 de abril de 2026, la Entidad Territorial no aceptó el trámite de ampliación de la suspensión, razón por la cual finalizó el plazo de ejecución del convenio. En consecuencia, se iniciaron las gestiones ante la aseguradora, la Oficina de Contratos y demás instancias competentes. El 8 de mayo de 2026 se remitió comunicación a la aseguradora informando el aviso de siniestro.
2026-05-04. Alerta crítica: El 30 de abril de 2026, la Entidad Territorial no aceptó el trámite de ampliación de la suspensión, razón por la cual finalizó el plazo de ejecución del convenio. En consecuencia, se iniciarán las gestiones correspondientes ante la aseguradora, la oficina de contratos y demás instancias competentes.
2026-04-28. El 27/04/2026 se emitieron observaciones a la ENTIDAD TERRITORIAL de la solicitud de prorroga a la suspensión enviada por la ENTIDAD TERRITORIAL, se dio plazo de respuesta hasta el 28/04/2026 12:00pm para tener espacio para análisis y gestión de cualquier tramite.
El 24/04/2026 la ENTIDAD TERRITORIAL solicito prorroga a la suspensión del convenio hasta el 15 de julio de 2026.
El día 20/04/2026 se realizo audiencia de arreglo directo, buscando establecer acuerdo entre las partes, sin embargo la ENTIDAD TERRITORIAL manifesto que no realizaría acuerdo, ni compromisos, por lo anterior se declaro fallido al no contar con animo conciliatorio por parte de la ENTIDAD TERRITORIAL. Desde la supervisión del convenio y diversas areas de PROSPERIDAD SOCIAL se continuaran las acciones a que haya lugar.
2026-04-21. El día 20/04/2026 se realizo audiencia de arreglo directo, buscando establecer acuerdo entre las partes, sin embargo la ENTIDAD TERRITORIAL manifesto que no realizaría acuerdo, ni compromisos, por lo anterior se declaro fallido al no contar con animo conciliatorio por parte de la ENTIDAD TERRITORIAL. Desde la supervisión del convenio y diversas areas de PROSPERIDAD SOCIAL se continuaran las acciones a que haya lugar.
2026-03-09. El municipio tiene compromiso para el día de mañana a más tardar presentar las subsanaciones a las observaciones de la mesa técnica ante la Dirección de Infraestructura y Habitat (reformulación), esto según compromiso de la ENTIDAD TERRITORIAL en mesa de dialogo con la CONTRALORIA GENERAL DE LA REPUBLICA del pasado 24 de febrero de 2026.
2026-02-16. Hubo reunión con el Ene Territorial y se asumió el compromiso de allegar las subsanaciones realizadas por el equipo de validación a más tardar el 27-02-2026, posteriormente se reiniciará la mesa técnica por parte de la DIH.
2026-02-09. Se realizó mesa técnica el 2 de enero de 2026, la interventoría envió las aclaraciones esta semana y el martes 27 remití a Coordinación esa información, junto con la presentación y el concepto. Quedo a la espera de que Coordinación confirme si procede la firma del acta para enviarla al municipio y que este avance en la consecución de recursos, el convenio se encuentra suspendido</t>
  </si>
  <si>
    <t>GR GUAVIARE</t>
  </si>
  <si>
    <t>AMAZONÍA</t>
  </si>
  <si>
    <t>ANTIOQUIA</t>
  </si>
  <si>
    <t>PLAZA DE MERCADO</t>
  </si>
  <si>
    <t>GR ANTIOQUIA</t>
  </si>
  <si>
    <t>GERMAN DARIO DAVILA ARIAS</t>
  </si>
  <si>
    <t>444-FIP-2021</t>
  </si>
  <si>
    <t>CALDAS</t>
  </si>
  <si>
    <t>PENSILVANIA</t>
  </si>
  <si>
    <t>Mejoramiento Y Pavimentación De La Vía Pensilvania, Puerto López, Puerto Arenas, Arboleda En El Municipio De Pensilvania - Caldas</t>
  </si>
  <si>
    <t>2026-08-19. El acta de arreglo directo ya se encuentra suscrita por quienes participaron en la audiencia. Respecto al Contrato de Obra No. 001-2022, el municipio adelanta el proceso de cierre contractual; se cuenta con acta de cierre en revisión por parte de la interventoría, posterior a lo cual se prevé formalizar la terminación y posteriormente la liquidación del contrato. Para la continuidad del proyecto, los recursos ya se encuentran incorporados en el Contrato 911-FIP-2024 con ENTerritorio. Como alerta, la solicitud para elaborar el convenio de cooperación a cero pesos con el Municipio de Pensilvania fue devuelta por la Subdirección de Contratación debido al proceso de transición administrativa y a la falta de lineamientos institucionales definidos; actualmente se encuentra en DELTA una respuesta a dicha dependencia, en revisión para firma del Director encargado de Infraestructura y Hábitat.
2026-07-30. El 24 de julio de 2026 se realizó la mesa de arreglo directo entre Prosperidad Social y el municipio de Pensilvania, en la cual se definió una ruta integral para el cierre del Convenio 444-FIP-2021 y la continuidad del proyecto vial. El acta se encuentra suscrita por la jefe de la Oficina de Contratación, el supervisor del convenio y el alcalde municipal; está pendiente la firma del Subdirector de Programas y Proyectos.
En relación con el cierre contractual, el municipio se comprometió a adelantar la liquidación del contrato de obra No. 001-2022 L.P., mantener vigentes las garantías del convenio hasta su liquidación bilateral, remitir los soportes técnicos, jurídicos, administrativos y financieros requeridos, formalizar la entrega de las obras ejecutadas y certificar que el porcentaje construido es funcional y se encuentra al servicio de la comunidad. También deberá garantizar la estabilidad y conservación de las obras mientras culmina el proceso de cierre. Por su parte, Prosperidad Social adelantará el trámite interno para proyectar y suscribir el acta de liquidación bilateral, en la cual se establecerá el balance definitivo y las salvedades que correspondan.
Adicionalmente, se acordó estructurar un nuevo convenio de cooperación entre Prosperidad Social y el municipio, orientado a habilitar jurídica y administrativamente la terminación del proyecto. Este instrumento deberá definir responsabilidades de coordinación, asistencia técnica, suministro de información, cronograma actualizado, seguimiento, recibo, operación, mantenimiento y sostenibilidad de las obras.
La incorporación del proyecto de Pensilvania al Contrato 911-FIP-2024 suscrito con ENTerritorio, por un valor equivalente al saldo no ejecutado del Convenio 444-FIP-2021 —aproximadamente $2.134.173.659— fue aprobada en el Comité Institucional de Infraestructura para la Paz realizado el 22 de julio de 2026. No obstante, está pendiente recibir el acta del comité para oficializar dicha decisión y continuar con la estructuración de la nueva ruta de ejecución.
El supervisor no reporta alertas técnicas, jurídicas, financieras o administrativas que impidan el cierre del convenio o la continuidad del proyecto mediante ENTerritorio. La Entidad Territorial se encuentra cumpliendo los compromisos acordados. Como pendientes de seguimiento permanecen la firma completa del acta de arreglo directo, la recepción del acta del Comité Institucional, la liquidación del contrato de obra derivado, la entrega de la documentación de cierre y la estructuración del convenio de cooperación. Se radicó solicitud de contrato de cooperaci{on en la oficina de contratos sin embargo fue devuelto sin trámite.
2026-07-17. Se definió orientar el cierre contractual del Convenio 444-FIP-2021 y de su contrato de obra derivado, solicitando a la Subdirección de Contratación la convocatoria de una mesa de arreglo directo con el alcalde para establecer los compromisos y actuaciones requeridas. Paralelamente, se solicitó incorporar la terminación del proyecto en el Convenio 911-FIP-2024 suscrito con ENTerritorio, utilizando como fuente el valor no desembolsado del Convenio 444-FIP-2021, equivalente al 50% de su valor, por $2.134.173.659. Bajo esta nueva ruta, deja de ser prioritaria la modificación del alcance a 2 km dentro del convenio vigente y no persistiría la alerta por precios no previstos, dado que la culminación se proyecta mediante un esquema contractual diferente. Los costos de interventoría no están incluidos en el valor solicitado, al considerarse una obligación contractual de ENTerritorio. La principal alerta se concentra en formalizar el cierre del convenio y del contrato derivado, así como en obtener la aprobación efectiva de la inclusión del proyecto en el Convenio 911-FIP-2024.
2026-07-09. Proyecto vial en definición crítica, con avance físico de 58,32% y suspensión prorrogada. El concepto jurídico del 24 de junio de 2026 habilita avanzar hacia modificación del alcance a 2 km; persisten alertas por balance, precios no previstos e interventoría.
2026-06-11. En relación con el Convenio No. 444-FIP-2021 suscrito con el municipio de Pensilvania, se informa que mediante oficio del 22 de mayo de 2026 el alcalde solicitó mantener la suspensión del plazo del convenio hasta el 30 de junio de 2026. Lo anterior, con fundamento en la necesidad de contar con un término razonable para adelantar un análisis jurídico integral sobre la viabilidad de modificar el alcance del contrato de obra, considerando su objeto contractual, las cláusulas pactadas, los estudios previos, las especificaciones técnicas, la normatividad aplicable y los posibles efectos jurídicos, financieros y administrativos de dicha modificación. En ese sentido, se espera contar con el concepto jurídico anunciado por la Entidad Territorial, el cual resulta necesario para definir la ruta de gestión y continuar con los trámites pendientes del convenio. Para tal efecto, se tiene prevista una mesa de trabajo con el municipio el viernes 12 de junio, en horario por confirmar.
2026-06-10.  Se realizó ampliación ampliación No 3 a la suspensión No 1, hasta el día 30 de junio de 2026.
2026-05-19. En reunión sostenida con la interventoría, esta asumió el compromiso de remitir oficio al supervisor informando los acercamientos adelantados con el contratista de obra para subsanar las observaciones al balance presentado, especialmente frente al precio unitario no previsto para la aplicación de mezcla densa en caliente. Lo anterior permitirá definir el alcance real del proyecto con los recursos asignados por Prosperidad Social. Adicionalmente, se requiere que la Entidad Territorial defina la asignación de recursos para cubrir la mayor permanencia de la interventoría por tres (3) meses adicionales, necesaria para acompañar la ejecución del alcance que finalmente se establezca.
2026-05-12. Se encuentra pendiente el resultado de la mesa de trabajo virtual realizada el viernes anterior entre la interventoría y el contratista, así como la remisión de sus conclusiones. Adicionalmente, se proyecta realizar una nueva reunión con la Entidad Territorial durante la presente semana, cuya programación será informada una vez se confirme el agendamiento.
2026-05-05. La mesa de trabajo programada con la Entidad Territorial y la interventoría no se llevó a cabo la semana anterior, debido a solicitud de esta última, quien, por compromisos previamente adquiridos en otros proyectos, requirió su reprogramación para el día martes 05/05/2026 en horas de la tarde (3:00 p. m.)
2026-04-28. En la reunión del viernes pasado quedó el compromiso de que la interventoría revisaría la información suministrada por el contratista de obra y se pronunciaría sobre la misma, mañana miércoles. Por lo cual se agendó reunión para el jueves 30 de abril, que tendrá como objetivo recibir el dictamen de la interventoría y verificar el alcance del proyecto con los recursos que tenemos disponibles.
2026-04-21. la Mesa de Arreglo Directo con la Oficina de Contratación quedó aplazada mientras la interventoría revisa la subsanación a observaciones que hizo al cronograma que entregó el contratista sobre las obras que faltan por ejecutar. Esta subsanación fue entregada el viernes pasado y en la presente, la interventoría procederá. Una vez proceda con la revisión, se determinará la necesidad de someter el proyecto a modificación de la ficha de estructuración por los siguientes motivos:
* Cambio en el punto de inicio del proyecto, puesto que se encontró una intervención de unos 300 m. al principio del mismo, lo cual obliga a correr la cota de inicio en los metros ya pavimentados.
* Modificación en el valor del proyecto, ya que en la ficha de estructuración se informa un valor del mismo inferior al aporte de PROSPERIDAD SOCIAL y se debe ajustar a los recursos disponibles, con lo cual se conocerá el alcance final del proyecto que, según información del contratista, sería hasta el K2+000 más o menos; esto será definido por la interventoría cuando tenga la revisión al cronograma ajustado, la cual incluye un balance de la intervención. Sobre este particular, se agendará virtual con el ente territorial y la interventoría para el próximo viernes 24 de abril.
 Entre tanto, el plazo del convenio continúa suspendido hasta el 31 de mayo de 2026
2026-03-09. Convenio suspendido hasta el 31 de marzo de 2026. Actualmente se encuentra en ruta de imputación presupuestal para proceder con la prórroga y posteriormente con la continuación de las obras faltantes.
2026-02-16. Se hace necesario extender la suspensión del proyecto con la asignación del nuevo CDP para tener respaldo financiero, posterior a eso, es indispensable realizar mesa técnica para cambio de cota de inicio del proyecto y las condiciones actuales de los avances de obra realizados.
2026-02-09. Se va a realizó una reunión 5 de febrero con Contraloría, por parte del supervisor del convenio se va a proponer realizar una visita para analizar las condiciones actuales de la vía y determinar sin la subbase que se había instalado antes, aún se puede utilizar sin inconvenientes bajo la capa de rodadura. Adicionalmente se requiere de la disponibilidad del recurso total por el valor del convenio para finalizar las obras.</t>
  </si>
  <si>
    <t>GR CALDAS</t>
  </si>
  <si>
    <t xml:space="preserve">NICOLAS CABARCAS VEGA </t>
  </si>
  <si>
    <t>561-FIP-2022</t>
  </si>
  <si>
    <t>BOLÍVAR</t>
  </si>
  <si>
    <t>PINILLOS</t>
  </si>
  <si>
    <t>Pavimentación rural tipo placas huellas de la v1a que conduce desde el casco urbano de pinillos al corregimiento de Palomino - Bolívar</t>
  </si>
  <si>
    <t>2026-08-19. El contrato de obra aún no había reiniciado su ejecución material, por lo que no se contó con una actualización del avance físico frente al 51,40 % previamente reportado. Permanece pendiente concretar el reinicio para continuar con la ejecución del alcance restante.
2026-07-09. Placa huella rural reiniciada a nivel de convenio el 28 de mayo de 2026; el Otrosí No. 8 prorrogó hasta el 27 de septiembre de 2026. Avance físico 51,40%; alerta por ejecutar el remanente, mantener garantías y asegurar funcionalidad vial.
2026-06-10. Se realizó modificación a convenio por Otrosí No 8 el cuaál extiende el plazo de convenio hasta el día 17/09/2026, adicionalmente se realiza imputación presupuestal de recursos fenecidos por 1,500 millones de pesos.
2026-04-21. El convenio esta suspendido hasta el 27/04/2026. El día de mañana (22/04/2021) es la audiencia de arreglo directo a las 09:30am. Posterior a esto se busca tramitar la próorroga de la manera más ágil posible por un plazo de 4 meses para poder terminar las obras pendientes.
2026-03-09. Proyecto suspendido hasta el 30 de marzo de 2026. Actualmente se encuentra en ruta de imputación presupuestal para proceder con la prórroga y posteriormente con la continuación de las obras faltantes.
2026-02-16.  Aún se está a la espera de pago de pasivo exigible por hito 50%, por lo que contratista de obra aún no ha reiniciado ejecución de obra.
2026-02-09. Aún se está a la espera de pago de pasivo exigible por hito 50%, por lo que contratista de obra aún no ha reiniciado ejecución de obra.</t>
  </si>
  <si>
    <t>GR BOLIVAR</t>
  </si>
  <si>
    <t>ANTONIO CARLOS GOMEZ CERRA</t>
  </si>
  <si>
    <t>581-FIP-2021</t>
  </si>
  <si>
    <t>CHISCAS</t>
  </si>
  <si>
    <t>Construcción Plaza De Mercado Del Municipio De Chiscas - Boyacá</t>
  </si>
  <si>
    <t>2026-06-10. Se encuentra pendiente la radicación del proyecto actualizado por parte del municipio, conforme a lo manifestado por la Entidad Territorial, quien indicó que realizaría dicha gestión durante la presente semana.
2026-05-19. Se encuentrna pendiente remitir documentación para iniciar proceso de liquidación.
2026-04-28. Resultado de las mesas técnico-Jurídica se determinó ruta de Subsanación de condiciones para liquidación del convenio interadministrativo.
2026-03-09. Proyecto se encuentra en etapa de diagnóstico por parte de E.T. con el objetivo de conocer el estado actual de la obra.
2025-02-16. Se plantea la realización de visita técnica para diagnóstico y pertinencia.</t>
  </si>
  <si>
    <t>SAN CARLOS</t>
  </si>
  <si>
    <t xml:space="preserve">Vias </t>
  </si>
  <si>
    <t>Pavimentación tipo placa huella en vias terciarias del municipio de San Carlos, veredas: San Carlos la Villa- Bellavista-Vallejuelo- Puerto Rico- Samaná- Prado San Blas La Mirandita.</t>
  </si>
  <si>
    <t>ESTRUCTURACIÓN</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</si>
  <si>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t>
  </si>
  <si>
    <t>DONALDO ANDRES DEL TORO ESCOBAR</t>
  </si>
  <si>
    <t>479-FIP-2021</t>
  </si>
  <si>
    <t>CAMPO DE LA CRUZ</t>
  </si>
  <si>
    <t>Mejoramiento Pavimento En Concreto Hidráulico De La Cll 15 Entre Cra 3 Y 14 En El Municipio De Campo De La Cruz - Atlántico</t>
  </si>
  <si>
    <t>2026-08-25. El proyecto mantiene 100 % de avance físico, aunque continúan abiertas las observaciones de calidad debido a dificultades de flujo de caja del contratista. Prosperidad Social efectuó el desembolso No. 5 al municipio el 24 de agosto, quedando pendiente el pago del Acta No. 5 al contratista para dar inicio a las reparaciones. Asimismo, está pendiente la aprobación del Plan de Sostenibilidad en su etapa de cierre. Se presenta una situación relacionada con una presunta afectación a una vivienda por las obras, frente a la cual la propietaria solicita indemnización; el municipio y el contratista gestionan una conciliación y, dado que el caso es conocido por la Contraloría, se solicitará visita al sitio para procurar un acuerdo.
2026-08-19. El convenio presenta 100 % de avance físico. La prórroga se encuentra formalizada hasta el 30 de septiembre de 2026, plazo establecido para atender y subsanar las observaciones de calidad pendientes antes del recibo y cierre del proyecto.
2026-07-30. Las cantidades de obra no se encuentran ejecutadas al 100%, aunque el supervisor no precisó el porcentaje físico actualizado ni las actividades específicas pendientes. Se tramitó una prórroga del convenio hasta el 30 de septiembre de 2026, con el propósito de atender y verificar las observaciones relacionadas con la calidad de las obras.
2026-07-09. Convenio y contrato de obra reiniciados el 15 de mayo de 2026, con plazo vigente hasta el 31 de julio de 2026. Continúa ejecución para culminar obras pendientes; alerta por cumplimiento del cronograma, seguimiento de interventoría, recibo a satisfacción y cierre.
2026-06-10. El convenio está reiniciado y su contrato de obra derivado también. Continúa en ejecución.
2026-05-19. Se legalizó el reinicio y la prórroga del convenio, extendiendo su plazo de ejecución hasta el 31 de julio.
2026-05-12. Se encuentra en trámite la modificación del convenio para el reinicio de actividades y la prórroga correspondiente. La solicitud fue radicada ante el área de Contratación el pasado viernes 08/05/2026.
2026-05-04. Se proyecta radicar el día de mañana la solicitud de modificación del convenio, la cual contempla el reinicio de actividades, la prórroga hasta el 31 de julio de 2026 y el ajuste de la imputación presupuestal.
2026-04-28. Se encuentra en trámite de radicación de solicitud de reinicio y prórroga. 
2026-04-21. El convenio continúa suspendido y se encuentra a la espera de expedición de CDP para continuar con ruta de prórroga para finalizar las obras pendientes.
2026-03-09. Proyecto prorrogado hasta el 16 de marzo de 2026. Actualmente se encuentra en ruta de imputación presupuestal con el objetivo de viabilizar la prórroga del convenio y continuar con la culminación de las obras.
2026-02-16. Se radicó la solicitud de ampliación a la suspensión No 2 el 16-02-2026, hasta el día 16-03-2026, esto mientras se origina el CDP que respalda la continución del convenio.
2025-02-09. Se proyectó prorroga hasta 16 de febrero de 2026</t>
  </si>
  <si>
    <t>FINDETER 773-2024</t>
  </si>
  <si>
    <t>HERBERT WILLY ARCINIEGAS RODRIGUEZ</t>
  </si>
  <si>
    <t>773-FIP-2024</t>
  </si>
  <si>
    <t>APARTADÓ</t>
  </si>
  <si>
    <t>PAS</t>
  </si>
  <si>
    <t>Punto de Abastecimiento Solidario - PAS</t>
  </si>
  <si>
    <t>No Viable -Excluido</t>
  </si>
  <si>
    <t>No Viable luego de la ejecución de la Actividad 1 Estudios y Diseños.                                                                                                                                     Proyecto iniciado en actividad 1. En el marco de esta actividad se identificó que el predio tiene una afectación ambiental cuya gestión se debe realizar con Corporación Autónoma. De igual forma para ejecutar el proyecto el municipio debe desarrollar un plan parcial. Estos aspectos, de difícil solución a corto plazo, hacen inviable técnicamente la ejecución del proyecto.</t>
  </si>
  <si>
    <t>642-FIP-2021</t>
  </si>
  <si>
    <t>Remodelación Y Construcción De Plaza De Mercado Del Municipio De Cucutilla - Norte De Santander</t>
  </si>
  <si>
    <t>En Ejecución</t>
  </si>
  <si>
    <t>2026-08-25. El proyecto registra un avance físico del 79 %. Se mantiene la posibilidad de prorrogar el convenio, decisión que se prevé adoptar la próxima semana. Se presentó una alerta por insuficiencia de cuadrillas, la cual fue subsanada con el ingreso de dos cuadrillas adicionales, quedando actualmente tres cuadrillas en obra.
2026-08-19. El convenio continúa en ejecución. El contrato de obra reinició el 1 de agosto de 2026 y se realizó visita de seguimiento el 14 de agosto. Se identifica posible alerta frente al cumplimiento del plazo previsto hasta el 30 de septiembre de 2026, por lo que se evalúa la necesidad de una eventual prórroga del convenio; la decisión se prevé adoptar en las próximas dos semanas. El supervisor no reportó un porcentaje de avance físico actualizado.
2026-07-30. El proyecto mantiene un avance físico del 70,67%, sin ejecución adicional, debido a que el contrato de obra aún no ha sido reiniciado. El proceso de interventoría ya fue adjudicado y se tiene prevista la suscripción del acta de inicio para el 1 de agosto de 2026. Para esa misma fecha se proyecta formalizar el acta de reinicio del contrato de obra.
No se reportan alertas que comprometan la terminación del proyecto dentro del plazo vigente hasta el 30 de septiembre de 2026. No obstante, permanece pendiente verificar que el inicio efectivo de la interventoría y el reinicio de la obra se materialicen en la fecha programada, así como realizar seguimiento estricto al avance requerido durante los dos meses restantes.
2026-07-17. La plaza de mercado mantiene el avance físico de referencia de 70,67%. El proceso de selección de la nueva interventoría se encuentra publicado en SECOP y se tenía prevista su adjudicación para el 19 de julio de 2026; una vez adjudicada, se proyecta el reinicio del contrato de obra para el 24 de julio de 2026. No se reportan alertas por parte de la supervisión; no obstante, se debe confirmar la adjudicación efectiva de la interventoría y la formalización del reinicio para asegurar el cumplimiento del plazo vigente.
2026-07-09. Plaza de mercado en reactivación final, con avance físico de 70,67%, plazo hasta el 30 de septiembre de 2026 y pólizas aprobadas. La alerta se concentra en formalizar nueva interventoría, reiniciar obra y ejecutar el porcentaje restante.
2026-06-10. El convenio fue prorrogado hasta el 30 de septiembre. Actualmente, el municipio adelanta el proceso de contratación de la interventoría; sin embargo, el contrato de obra aún no ha reiniciado. Las pólizas del convenio ya fueron remitidas para aprobación por parte del área de Contratación.
2026-05-19. El convenio prorrogó su suspensión hasta el 29 de mayo de 2026, debido a que no fue posible adelantar el reinicio ni la modificación correspondiente. Lo anterior, teniendo en cuenta que el comité de contratación fue convocado, pero no pudo sesionar por falta de quórum.
2026-05-12. Se solicitó el CDP de respaldo presupuestal para el convenio, así como el CDP correspondiente a dos (2) meses de interventoría. Actualmente, se adelanta la gestión de prórroga del convenio, la cual se proyecta tramitar durante la presente seman
2026-05-04. Se llevó a cabo mesa de arreglo directo, en la cual se aprobaron los acuerdos planteados, incluyendo la prórroga del convenio por cuatro (4) meses. Actualmente, se encuentra pendiente la recolección de firmas del acta. Se solicitará la expedición del Certificado de Disponibilidad Presupuestal (CDP) para la modificación del convenio. En cuanto a la interventoría, se definió un plazo de dos (2) meses, y para el contrato de obra, dos (2) meses adicionales para su finalización. La interventoría será contratada por el municipio con recursos de Prosperidad Social.
2026-04-28. Se prorrogó la suspensión del convenio hasta el 15 de mayo de 2026. Se programó mesa de arreglo directo para el 28 de abril de 2026 en horas de la tarde. Adicionalmente, se solicitó la expedición del Certificado de Disponibilidad Presupuestal (CDP) para el trámite de reconocimiento de pasivo exigible correspondiente al 70%.
2026-04-21. El convenio continúa suspendido, el día 22/04/2026 se tiene previsto la realización de una mesa de arreglo directo.
2026-03-09. Actualmente no se ha recibido informe de interventoría saliente para la posibilidad de ser evaluado por la posible nueva interventoría, por lo que se encuentra sujeto al envío de dicho informe. Convenio está en ruta de imputación presupuestal para poder viabilizar la prórroga y la continuación de las obras faltantes.
2026-02-24. Se está pendiente de informe completo por parte de proyecto para evaluación y análisis de adherir el proyecto a Interventoría (Medina y Rivera)
2026-02-16. El proyecto sigue suspendido por el tema del pago, fecha de vencimiento el 28 de febrero.
2026-02-09. Se está esperando desemboldso de trámite de pasivo exigible por hito del 50%.  Condición indispensable para reinicio de obras. Durante la vigencia 2025 hubo un avance significativo de las obras mientras el proyecto estaba en Ejecución. Se espera terminar en 2 meses luego de su reinicio.</t>
  </si>
  <si>
    <t>Sin Convenio</t>
  </si>
  <si>
    <t>El municipio no suscribió el convenio interadministrativo, al manifestar que no se encontraba interesado en la ejecución del proyecto debido a aspectos relacionados con la insuficiencia de recursos para su sostenibilidad. Adicionalmente, no dio cumplimiento a los compromisos establecidos como condición para la viabilidad del proyecto.</t>
  </si>
  <si>
    <t>320-FIP-2021</t>
  </si>
  <si>
    <t>ALVARADO</t>
  </si>
  <si>
    <t>Construcción De Plaza De Mercado Rafael Caicedo Espinoza Del Municipio De Alvarado - Tolima</t>
  </si>
  <si>
    <t>2026-07-21. La plaza de mercado mantiene el avance físico de referencia de 76,48%. La entidad territorial ya cuenta con contrato de interventoría y aprobación de garantías; se informó que a más tardar el 22 de julio de 2026 se suscribirían el acta de inicio de la interventoría y el acta de reinicio del contrato de obra. Se mantiene alerta administrativa y contractual, dado que el reinicio efectivo aún debe formalizarse y se ha reiterado a la entidad territorial y a la aseguradora la necesidad de cumplir los compromisos del convenio, especialmente la reactivación y terminación total del proyecto.
2026-07-09. La plaza de mercado está en reactivación formal, con plazo vigente hasta el 11 de diciembre de 2026 y avance físico de referencia de 76,48%. La interventoría fue adjudicada, pero faltan suscripción, acta de inicio y reinicio efectivo del contrato de obra.
2026-06-10. Se encuentra en seguimiento de los compromisos de la mesa de arreglo directo, los hitos importantes son:
22/06/2026 a más tardar la ET debe tener gestionado el proceso de selección con INTERVENTORIA con legalizaciones y perfeccionamiento pertinente.
23/06/2026 a más tardar la ET debe dar reinicio a su contrato de obra
22/10/2026 a más tardar la ET debe dar por terminado su contrato de obra
04/12/2026 a más tardar la ET debe dar realizar el proceso de recibo a satisfacción del contrato de obra y remitir a PROSPERIDAD SOCIAL.
2026-05-26. El 22 de mayo de 2026 la ENTIDAD TERRITORIAL publico el proceso del proceso de selección abreviada de menor cuantía No. CM-03 de 2026, cuyo objeto corresponde a: “CONTRATAR LA INTERVENTORÍA TÉCNICA, ADMINISTRATIVA, FINANCIERA Y AMBIENTAL AL PROYECTO DE INFRAESTRUCTURA SOCIAL QUE TIENE POR OBJETO LA: “CONSTRUCCIÓN DE LA PLAZA DE MERCADO RAFAEL CAICEDO ESPINOZA DEL MUNICIPIO DE ALVARADO - TOLIMA”, DERIVADO DEL CONVENIO 320-FIP-2021 SUSCRITO ENTRE EL DEPARTAMENTO ADMINISTRATIVO PARA LA PROSPERIDAD SOCIAL Y EL MUNICIPIO DE ALVARADO”
2026-05-19. El 15 de mayo de 2026 se formalizó el reinicio y la modificación del convenio. Actualmente, la Entidad Territorial adelanta el trámite precontractual para la contratación de la interventoría. Se mantiene seguimiento a los compromisos definidos en la mesa de arreglo directo, cuyos hitos principales son: selección, legalización y perfeccionamiento de la interventoría a más tardar el 22 de junio de 2026; reinicio del contrato de obra a más tardar el 23 de junio de 2026; terminación de la obra a más tardar el 22 de octubre de 2026; y recibo a satisfacción con remisión a Prosperidad Social a más tardar el 4 de diciembre de 2026.
2026-05-12. Se expidieron los CDP requeridos para el convenio. El 7 de mayo de 2026 se radicó memorando de solicitud de modificación del convenio y, posteriormente, el 11 de mayo de 2026, se presentó alcance conforme a lo requerido por la Oficina de Contratos. Se precisa que el trámite ya fue presentado y aprobado en comité de contratación.
2026-05-04. Alerta crítica: Se encuentra pendiente la expedición del Certificado de Disponibilidad Presupuestal (CDP) para el recurso de interventoría.
Una vez se cuente con el CDP, se deberá adelantar la modificación del convenio, trámite previamente viabilizado en comité de contratación. Se realizó ampliación a la suspensión hasta el día 15/05/2026.
2026-04-28. El 24 de abril de 2026 se solicito reinicio del convenio desde el 30/04/2026 y modificación previa expedición de los CDP correspondientes.
El 24 de abril de 2026 se solicito nuevamente la expedición de CDP a la Dirección Técnica de infraestructura y Habitat. En seguimiento a la situación previamente reportada, el día 20 de abril de 2026 se llevó a cabo la mesa de arreglo directo entre las partes, en la cual se definió que la Entidad Territorial asumirá la contratación de la nueva interventoría, además se aclararon las condiciones por parte de los ordenadores del gasto las condiciones para el respaldo presupuestal en el marco del convenio.
2026-04-21. En seguimiento a la situación previamente reportada, el día 20 de abril de 2026 se llevó a cabo la mesa de arreglo directo entre las partes, en la cual se definió que la Entidad Territorial asumirá la contratación de la nueva interventoría
2026-04-14. No fue recibido el convenio por parte de la interventoría Medina y Rivera, conforme a lo inicialmente propuesto. En consecuencia, se planteó ante el ente territorial la posibilidad de que la contratación de la interventoría fuera adelantada directamente por este, previa adición de recursos por parte de Prosperidad Social al convenio suscrito entre las partes. Lo anterior será formalizado mediante la realización de una mesa de arreglo directo entre las partes, en la cual se establecerán de manera expresa las obligaciones a cargo de cada una frente al particular.
2026-03-09. Convenio prorrogado hasta el 22 de abril de 2026. Actualmente se encuentra en ruta de imputación presupuestal con el objetivo de viabilizar la prórroga del convenio y continuar con la culminación de las obras. El día 04-03-2026 se remitió respuesta por parte de E.T. hacia la interventoría, esta se comprometió a enviar solicitud de viabilidad en el transcurso de esta semana para manifestar su posición frente a la solicitud de adherir este proyecto a su interventoría.
2026-02-24. Proyecto está en evaluación por parte de la interventoría propuesta para su nueva asignación.
2026-05-16. Se programó reunión junto con contraloría para el jueves 19 de febrero, en donde se solicita aclaración referente a los recursos fenecidos. Pendiente a que se realice la reasignación de la Interventoría (411 FIP 2021).
2026-02-09. El informe de interventoría fue radicado el 19/12/2025 y reenviado el 22/12/2025 a la Ing. Paola Miranda y a la Arq. Carolina para adelantar el trámite de reasignación de interventoría, sin embargo, a la fecha no se ha confirmado dicha reasignación (Medina &amp; Rivera). Adicionalmente, el 29/01/2026 se ofició al ET (Rad. S-2026-4301-012037) solicitando informar el estado actual del contrato de obra, información que sigue pendiente y es clave para soportar la reasignación. Finalmente, se debe tener en cuenta que el convenio presenta recursos fenecidos.</t>
  </si>
  <si>
    <t>456-FIP-2021</t>
  </si>
  <si>
    <t>ROBERTO PAYÁN</t>
  </si>
  <si>
    <t xml:space="preserve">Construcción De Plaza De Mercado Del Municipio De Roberto Payan - Nariño </t>
  </si>
  <si>
    <t>ARAUCA</t>
  </si>
  <si>
    <t>GR ARAUCA</t>
  </si>
  <si>
    <t>LLANOS ORIENTALES - ORINOQUÍA</t>
  </si>
  <si>
    <t>No Viable - Tecnico</t>
  </si>
  <si>
    <t xml:space="preserve">2026-06-09 - No viable, técnico. El predio que presento el municipio resulto ser un humedal
2026-06-01 - Sin Novedad 
2026-05-25 - Sin Novedad 
2026-05-19 - Sin Novedad 
2026-05-11 - Sin Novedad 
2026-05-05 - Sin Novedad 
2026-04-27 - Sin Novedad 
2026-04-20 - Sin Novedad
2026-04-13 - Sin Novedad 
2026-03-30 - Sin Novedad 
2026-03-24 - Sin Novedad 
2026-03-16 - Sin Novedad 
2026-03-10 - Sin Novedad 
2026-03-02 - Sin Novedad 
2026-02-23 - Sin Novedad                                                                                                                                    </t>
  </si>
  <si>
    <t>321-FIP-2021</t>
  </si>
  <si>
    <t>ROVIRA</t>
  </si>
  <si>
    <t>Construcción De Plaza De Mercado San Isidro Labrador Del Municipio De Rovira - Tolima</t>
  </si>
  <si>
    <t>2026-05-19. Pendiente Acta de recibo final y terminación. pendiente actualización de pólizas. También pendiente devolución de recursos.
2026-04-28. Como resultado de las mesas técnico-jurídicas, se definió como ruta de acción la liquidación bilateral inmediata del convenio interadministrativo.
2026-03-09. Proyecto se encuentra en etapa de diagnóstico por parte de E.T. con el objetivo de conocer el estado actual de la obra.
2025-02-16. Se plantea la realización de visita técnica para diagnóstico y pertinencia.</t>
  </si>
  <si>
    <t>CUBARÁ</t>
  </si>
  <si>
    <t>Construcción de pavimento rigido sobre cra 11entre manzanas A Y B de la urbanziación villas del colegio barrio el jardin, Cubará - Boyacá.</t>
  </si>
  <si>
    <t>407-FIP-2021</t>
  </si>
  <si>
    <t>CARTAGO</t>
  </si>
  <si>
    <t xml:space="preserve">Construcción Plaza De Mercado Municipio De Cartago - Valle Del Cauca.
</t>
  </si>
  <si>
    <t>2026-08-19. Fue suscrita el acta de liquidación del anterior Contrato de Obra No. 4-345-2021, permitiendo continuar con el trámite del desembolso pendiente. No se contó con un porcentaje de avance físico actualizado de la nueva etapa, debido a la atención de la contingencia generada por el sismo en el norte del Valle; no obstante, se reportó que la edificación construida no presentó afectaciones. El municipio asumió los costos correspondientes a la terminación de la plaza de mercado en su segunda etapa y, a la fecha, no se reportan alertas de funcionalidad.
2026-07-30. La nueva etapa del contrato de obra presenta un avance físico del 17,3%. Para continuar con el desembolso de los recursos correspondientes a Prosperidad Social permanece pendiente que el municipio suscriba el acta de liquidación del contrato de obra No. 4-345-2021. El documento ya fue conciliado y se encuentra en revisión previa a su suscripción y posterior remisión a Prosperidad Social.
Las pólizas del convenio correspondientes a la modificación formalizada mediante el Otrosí No. 9 ya fueron aprobadas; no obstante, una vez se suscriba el acta de liquidación del contrato anterior deberán actualizarse nuevamente las garantías requeridas para continuar con el trámite de desembolso.
No se reportan alertas técnicas, administrativas, financieras, jurídicas o de plazo que estén afectando actualmente la ejecución. Como pendiente técnico, se encuentra en preparación el concepto mediante el cual deberá acreditarse que los diseños disponibles garantizan la funcionalidad de los dos bloques de la plaza de mercado. En consecuencia, los principales asuntos de seguimiento son la suscripción del acta de liquidación, la actualización posterior de las pólizas, el desembolso de los recursos y la emisión del concepto de funcionalidad.
2026-07-17. El contrato de obra inicial No. 4-345-2021 presenta un avance físico reconocido del 48,06% y la ruta de culminación del proyecto quedó definida mediante el Otrosí No. 9, con ejecución de la nueva etapa financiada con recursos del municipio. Se reporta que el nuevo contrato de obra ya fue reiniciado; paralelamente, la Entidad Territorial adelanta la liquidación del contrato anterior, trámite requerido para ampliar las pólizas y habilitar el desembolso del recurso correspondiente a Prosperidad Social. No se reportan alertas adicionales; el principal pendiente se concentra en obtener el acta de liquidación del contrato inicial.
2026-07-09. Plaza de mercado con antecedente crítico: el contrato de obra terminó anormalmente con avance aproximado de 50,78%. El convenio fue proyectado/prorrogado hasta el 31 de diciembre de 2026; alertas por cierre contractual, sancionatorio, financiación y ruta de culminación.
2026-06-10. Se adelantan actividades preliminares de intervención. El municipio informó que se encuentra atendiendo las observaciones formuladas por la Curaduría, con el fin de avanzar en el trámite correspondiente.
2026-05-19. En conversación con la Secretaría de Infraestructura, se informó que actualmente se adelantan actividades para complementar los estudios y atender las observaciones formuladas por la curaduría, con el fin de remitir la totalidad de los diseños a la interventoría para su revisión. Adicionalmente, el 19 de mayo de 2026 a las 2:00 p. m. se reanudará la audiencia por presunto incumplimiento contra el contratista de obra, como paso previo para orientar el proceso de liquidación unilateral del Contrato de Obra No. 4-345-2021.
2026-05-12. Se han reportado avances en la culminación de los diseños. A la fecha, ya se encuentra contratada la interventoría, encargada de su revisión, así como la obra para la terminación del proyecto con recursos del municipio. Adicionalmente, mediante comunicado remitido la semana anterior, se informó que se dará continuidad al proceso sancionatorio contra el contratista del Contrato de Obra No. 4-345 de 2021, con el fin de avanzar posteriormente en su liquidación.
2026-05-04. Continúa el avance en el proceso de modificación de diseños, estimándose la consolidación total de la información durante el presente mes. Paralelamente, se adelanta la actualización de la licencia de construcción.
2026-04-27. En relación con el proyecto del municipio de Cartago, la Entidad Territorial remitió información correspondiente a los diseños; no obstante, persisten pendientes asociados a la subsanación de algunos aspectos técnicos y a la obtención de la licencia de construcción. La interventoría se encuentra a cargo de EMCADE, en el marco de la gerencia integral contratada por el municipio para la culminación del proyecto, desde la cual se adelantarán los procesos de contratación de obra e interventoría. Adicionalmente, la Contraloría citó a reunión el día lunes 4 de mayo de 2026, en el marco de la estrategia “Compromiso por Colombia”. Sin embargo, se advierte posible dificultad en el desplazamiento desde Popayán, debido a las condiciones de seguridad en la vía Panamericana.
2026-04-21. El Municipio se encuentra adelntando modificaciones a los diiseños, expedición de licencia de construcción para la continuación del proyecto, la nterventoria ya se encuentra contratada por parte de la gerencia contratada por el municipio con  EMCADE.
2026-03-09. Proyecto vigente hasta el 31 de diciembre de 2026. 
2026-02-16. Se está adelantando la revisión de los diseños por parte de E.T., se está en proceso de contratación de una interventoría pagada por E.T. para la revisión de estos diseños. Está en trámite el ajuste de la licencia de construcción.
2026-02-09. El convenio se encuentra en ejecución con el fin de terminar el objeto contractual con recursos de la Entidad Territorial, dado que el contrato de obra con el que se venía ejecutando terminó de manera anormal el 16 de marzo de 2025, con un avance ejecutado del 48,06% (con recursos de Prosperidad Social). Actualmente, la Entidad Territorial está complementando los estudios para finalizar la plaza con los recursos disponibles. El convenio está vigente conforme al Otrosí No. 9, hasta el 31 de diciembre de 2026.</t>
  </si>
  <si>
    <t>559-FIP-2021</t>
  </si>
  <si>
    <t>BARBACOAS</t>
  </si>
  <si>
    <t>Construcción Plaza De Mercado Municipio Barbacoas - Nariño</t>
  </si>
  <si>
    <t>681-FIP-2021</t>
  </si>
  <si>
    <t>CAICEDONIA</t>
  </si>
  <si>
    <t>Construcción Doble Calzada Cra 9 Entre Cll 12 Y 13 Entre Cra 9 Y 11 Del Municipio De Caicedonia - Valle Del Cauca</t>
  </si>
  <si>
    <t>2026-05-13. El proyecto se encuentra terminado y se espera para el día de hoy la remisión del Acta de Entrega y Recibo Final suscrita por todas las partes, con el fin de programar visita de verificación y avanzar en la Auditoría Visible No. 3. Aunque se reporta una ejecución del 100%, permanece abierto el proceso de presunto incumplimiento, debido a la entrega pendiente de documentación contractual requerida —PGIO, paz y salvos, entre otros—, necesaria para continuar con el cierre y posterior liquidación del contrato.</t>
  </si>
  <si>
    <t>680-FIP-2021</t>
  </si>
  <si>
    <t>Construcción Doble Calzada Cll 13 Entre Cra 11 A La 14 Del Municipio De Caicedonia - Valle Del Cauca</t>
  </si>
  <si>
    <t>2026-05-13. Se mantiene la misma situación. Para avanzar, el día de hoy se realiza mesa de trabajo entre la interventoría y el contratista, con el fin de conciliar las cantidades realmente ejecutadas y resolver la controversia presentada. La Secretaría de Planeación, en calidad de supervisora del contrato de obra, estima que a más tardar la próxima semana se suscribirá el Acta de Entrega y Recibo Final por todas las partes. Si bien actualmente se tiene validado un avance del 71,14 %, se encuentra en conciliación una posible ejecución cercana al 90 %.</t>
  </si>
  <si>
    <t>380-FIP-2021</t>
  </si>
  <si>
    <t>CAUCA</t>
  </si>
  <si>
    <t>CORINTO</t>
  </si>
  <si>
    <t xml:space="preserve">Mejoramiento y Adecuación De La Plaza De Mercado Del Municipio De Corinto – Cauca.
</t>
  </si>
  <si>
    <t xml:space="preserve">2026-08-19. El contrato de obra reinició el 27 de julio de 2026 y cuenta con plazo hasta el 22 de septiembre de 2026. A la fecha no se disponía de un porcentaje de avance físico actualizado por parte de la interventoría y se reportaban avances poco significativos durante la reorganización posterior al reinicio. El contratista manifestó afectaciones en el suministro de insumos como consecuencia del sismo del 10 de agosto, debido a que el abastecimiento para el norte del Cauca se realiza principalmente desde Cali. El proyecto deberá culminarse con los recursos disponibles y no se reportan actualmente alertas de funcionalidad.
2026-07-30. El contrato de obra fue reiniciado el 27 de julio de 2026. Debido a que la reactivación ocurrió durante la presente semana, el avance físico se mantiene en 70,02%, sin que todavía se reporten nuevas cantidades ejecutadas posteriores al reinicio.
No se registra una alerta actual que impida la continuidad de la obra. El contrato dispone de un plazo máximo de 57 días de ejecución, mientras que el convenio termina el 30 de septiembre de 2026. Aunque el plazo contractual se encuentra dentro de la vigencia del convenio, el margen disponible es limitado, por lo que será necesario controlar estrictamente la programación, evitar nuevas suspensiones y garantizar el cierre técnico y contractual antes del vencimiento.
2026-07-17. La plaza de mercado mantiene el avance físico de referencia de 70,02%, sin avance adicional debido a que no se ha formalizado el reinicio efectivo del contrato de obra. La reactivación continúa pendiente de la tramitación de dos modificaciones al contrato de interventoría. Las validaciones técnicas de los sistemas eléctricos y de la red contra incendios se reportan conformes. La principal alerta corresponde a concretar de manera inmediata las modificaciones de la interventoría y el reinicio material de las obras, con el fin de evitar nuevas afectaciones al cronograma de terminación.
2026-07-09. Plaza de mercado en reactivación final, con avance físico de 70,02%, plazo hasta el 30 de septiembre de 2026 y respaldo presupuestal definido. Deben cerrarse pólizas, reinicio efectivo, pago del hito del 70% y validación de sistemas eléctricos/RCI.
2026-06-10.  El municipio requirió al contratista de obra el viernes 5 de junio de 2026, con el fin de solicitar la entrega de información pendiente y coordinar las actividades necesarias para el reinicio del contrato de obra.
2026-05-19. El convenio interadministrativo quedó legalizado en cuanto al reinicio, prórroga y modificación de imputaciones presupuestales, con plazo ampliado hasta el 30 de septiembre de 2026. El 14 de mayo se realizó reunión con el municipio y la interventoría, en la cual se indicó la necesidad de coordinar el reinicio de actividades de obra, proyectado para el 25 de mayo de 2026.
2026-05-12. El convenio se encuentra suspendido hasta el 15 de mayo de 2026. Conforme a lo definido en el comité de conciliación del 25 de marzo, la mesa de arreglo directo del 21 de abril, la solicitud del municipio y la expedición del CDP correspondiente, el día anterior se radicó mediante comunicado No. M-2026-40204-022140 la solicitud de reinicio, prórroga y modificación de imputaciones presupuestales.
2026-05-04. Se expidió el Certificado de Disponibilidad Presupuestal (CDP) para el proceso de prórroga; sin embargo, desde el área de Contratos se tramitó la ampliación de la suspensión hasta el 15 de mayo de 2026. Durante este periodo se adelantará la modificación de la imputación presupuestal, con el fin de viabilizar el reinicio de actividades, la prórroga y el ajuste correspondiente del convenio.
2026-04-27. El convenio del municipio de Corinto se encuentra en proceso de modificación. El 23 de abril de 2026 se llevó a cabo audiencia de arreglo directo, en la cual se acordaron compromisos orientados a la prórroga del plazo hasta el 30 de septiembre de 2026. Para la materialización de dicha prórroga, Prosperidad Social debe expedir el correspondiente Certificado de Disponibilidad Presupuestal (CDP), previsto entre el 27 y 28 de abril.
2026-04-21. Actualmente  esta suspendido hasta el 30 de abril de 2026, se esta a la espera de arreglo directo que se relizara para el día 21/04-2026, buscando el reinicio de convenio y la modificación de impuitaciones presupuestales.
2026-03-09. Convenio suspendido hasta 31 de marzo de 2026. Actualmente se está en estapa de diagnóstico para conocer el estado actual de la obra, en marco de la competencia del convenio de cooperación que se encuentra vigente.
2026-02-27. Se radicó solicitud de ampliación a la suspensión, se está a la espera de la respuesta por parte de la oficina de Contratos.
2026-02-16. Se requiere desembolso de los hitos del 50% y 70%. Para continuar con el convenio se va a realizar modificación de convenio para lograr tener respaldo presupuestal. En caso de que se de lo anterior, no sería necesario utilizar el convenio de cooperación.
2026-02-09. El convenio y el contrato de obra se encuentran suspendidos, están pendientes los desembolsos 3 y 4 y se está a la espera del CDP para poder modificar y reiniciar. Una vez se cuente con el CDP, se adelantará la modificación, el reinicio y la ejecución. Actualmente quedan 12 días de plazo por ejecutar.
</t>
  </si>
  <si>
    <t>GR CAUCA</t>
  </si>
  <si>
    <t>MONGUÍ</t>
  </si>
  <si>
    <t>Mejoramiento de la via vereda San Isidro desde la cabaña Antonia Patiño hasta las cruces verda San Antonio municipio de Mongui Boyacá</t>
  </si>
  <si>
    <t>SAN MARTÍN DE LOBA</t>
  </si>
  <si>
    <t>Reconstrucción de la plaza de mercado en el municipio de San Martín de Loba, Bolívar</t>
  </si>
  <si>
    <t>524-FIP-2021</t>
  </si>
  <si>
    <t>TORO</t>
  </si>
  <si>
    <t>Adecuación Y Remodelación De Las Instalaciones De La Plaza De Mercado Del Municipio De Toro - Valle Del Cauca</t>
  </si>
  <si>
    <t>ARGELIA</t>
  </si>
  <si>
    <t>2026-05-05 - El ente territorial no presentó la subsanación a las observaciones formuladas sobre la información inicialmente radicada.                                                                                                                                                            2026-02-16 - Incumplimiento de compromisos, demolición de caseta y trabajo social.</t>
  </si>
  <si>
    <t>622-FIP-2021</t>
  </si>
  <si>
    <t xml:space="preserve">Construcción De La Plaza De Mercado Para Fortalecer Los Canales De Comercialización De Los Productos De Origen Agropecuario En El Municipio De Bolívar - Cauca	</t>
  </si>
  <si>
    <t>2026-05-12. A la fecha no se ha definido la fecha para la realización de la Auditoría Visible No. 3, teniendo en cuenta que la veeduría solicitó previamente la entrega de las actas de obra con sus respectivas memorias. La interventoría informó que durante la presente jornada reportaría el estado de cumplimiento de estos compromisos, como requisito previo para avanzar con la programación de la AV3.
Está programada para 22 de enero de 2026</t>
  </si>
  <si>
    <t>QUINDÍO</t>
  </si>
  <si>
    <t>ARMENIA</t>
  </si>
  <si>
    <t>No se logró la firma del convenio entre el ente territorial y Findeter antes de la ley de garantías de novimenre de 2025. Por esta razón este PAS entre en estado de No Viable</t>
  </si>
  <si>
    <t>GR QUINDIO</t>
  </si>
  <si>
    <t>ALVARO GOMEZ</t>
  </si>
  <si>
    <t>382-FIP-2021</t>
  </si>
  <si>
    <t>CALIMA</t>
  </si>
  <si>
    <t>Construcción Plaza De Mercado Calima Darién - Valle Del Cauca</t>
  </si>
  <si>
    <t>2026-05-19. Aún se encuentran pendientes algunos documentos para ruta de liquidación de convenio inicial y actualización de pólizas.
2026-04-28. Resultado de las mesas técnico-Jurídica se determinó ruta de Subsanación de condiciones para liquidación del convenio interadministrativo.
2026-04-14. : Contrato terminado anticipadamente. Se avanza en proceso de liquidación conforme a lo definido en mesas de seguimiento. 
2026-04-06. Se realizará visita de verificación y de pertinencia del proyecto los días 14 y 15 de abril de 2026 (Se solicitó la comisión pero hasta el momento no ha sido aprobada por el ordenador del gasto).                                                                                                                                                     2026-03-09. Proyecto se encuentra en etapa de diagnóstico por parte de E.T. con el objetivo de conocer el estado actual de la obra.
2025-02-16. Se plantea la realización de visita técnica para diagnóstico y pertinencia.</t>
  </si>
  <si>
    <t>PEDRO JORGE REJTMAN OROZCO</t>
  </si>
  <si>
    <t>488-FIP-2021</t>
  </si>
  <si>
    <t>VILLANUEVA</t>
  </si>
  <si>
    <t>Construcción De Placa Huella Entre El Municipio De Villanueva - Bolívar Desde La Finca Viloria Hasta La Finca Los Cocos</t>
  </si>
  <si>
    <t>Terminación sin ejecución del 100%</t>
  </si>
  <si>
    <t>2026-08-19. El convenio expiró el 11 de agosto de 2026 sin que el municipio solicitara ampliación del plazo. El contrato de obra mantiene un avance físico del 70,86 %, evidenciándose incumplimiento del cronograma de reformulación por parte del contratista y del cronograma acordado en la mesa de arreglo directo por parte del municipio. Se adelantaron mesas de trabajo los días 12 y 18 de agosto para definir la ruta frente al posible incumplimiento, determinándose como lineamiento iniciar las actuaciones para hacer efectivas las garantías del convenio, encontrándose en recopilación de soportes para la comunicación a la aseguradora. La interventoría programó para el 24 de agosto un recorrido final e inspección técnica de la obra como insumo para su cierre.
2026-08-03. El contrato de obra presenta un avance físico acumulado del 70,86%. Desde el reinicio efectuado el 2 de junio de 2026, el contratista únicamente ha incrementado la ejecución en 0,68 puntos porcentuales durante aproximadamente sesenta días, desempeño que la supervisión considera insuficiente para culminar las obras dentro del plazo vigente hasta el 11 de agosto de 2026.
No se tiene prevista una nueva prórroga o modificación del convenio, atendiendo sus condiciones particulares, entre ellas la cesión contractual previamente efectuada. En consecuencia, existe una alerta crítica de plazo y posible incumplimiento, dado que permanece pendiente aproximadamente el 29,14% de la ejecución física y el ritmo registrado no permite proyectar razonablemente la terminación, corrección y recibo de las obras antes del vencimiento.
Mediante memorando S-2026-40204-104204 del 7 de julio de 2026, se requirió al municipio por un posible incumplimiento del Convenio 488-FIP-2021. Posteriormente, en mesa de trabajo realizada el 23 de julio de 2026, el municipio y la interventoría reconocieron el retraso del contratista, y se informó sobre la elaboración o remisión de un informe de tasación de multas. En esa misma fecha, mediante memorando M-2026-40204-034672, la supervisión trasladó a la Oficina de Contratación un informe sobre hechos que podrían configurar un presunto incumplimiento del convenio por parte del municipio de Villanueva.
Los principales pendientes corresponden a determinar las cantidades y actividades específicas sin ejecutar, definir las actuaciones frente al contratista, continuar el trámite relacionado con las eventuales multas y establecer la ruta jurídica, técnica y contractual aplicable una vez venza el plazo sin haberse alcanzado la terminación integral del proyecto.
2026-07-09. Proyecto de placa huella reiniciado el 2 de junio de 2026, con avance físico de 70,02% y plazo hasta el 11 de agosto de 2026. Alertas: pólizas actualizadas, ejecución del tramo restante y gestión oportuna de recursos e hitos pendientes.
2026-06-11. La interventoría, el municipio y el contratista acordaron reiniciar el contrato de obra el 11 de junio de 2026. Desde la supervisión se está a la espera del acta de reinicio debidamente suscrita, como soporte para formalizar la reactivación de las actividades.
2026-06-10. Se realizó modificación a convenio por Otrosí No 9 el cuaál extiende el plazo de convenio hasta el día 11/08/2026, adicionalmente se realiza imputación presupuestal de recursos fenecidos por 1,143 millones de pesos.
2026-05-19. El municipio informó, en mesa de trabajo con la interventoría, que durante la presente jornada 19/05/2026 emitirá respuesta frente al estado y trámite de las pólizas del contrato de obra.
2026-05-12. Se encuentra pendiente la certificación de ampliación de pólizas por parte de la interventoría. Para ello, la interventoría solicitó al contratista la remisión de las pólizas actualizadas.
2026-04-27. Se encuentra en trámite la prórroga de la suspensión del convenio, cuyo vencimiento está previsto para el 28 de abril de 2026.
2026-04-21. El día de hoy (21/04/2026) a las 4 pm hay mesa de arreglo directo. El contratista esta gestionando la póliza actualizada y solo entre hoy o a mas tardar mañana se la entregan. y se la envía a la Interventoría y al municipio.
2026-03-09. Se está pendiente de programación de mesa de reformulación. Actualmente se está siguiendo ruta de imputación presupuestal para viabilizar la prórroga y la culminación de obras faltantes.
2026-02-16. Se realizó revisión por parte del profesional Jhonatan Cala, está pendiente el resultado de dicha evaluación para poder agendar mesa de reformulación.
2026-02-09. Pendiente de pago por hito del 70%. La obra se encuentra suspendida desde el mes de julio del 2025. Convenio suspendido hasta el 28 de febrero. Se encuentra en revisión de documentos de subsanación de reformulación enviados por el municipio el 14 de enero de 2026</t>
  </si>
  <si>
    <t>ATACO</t>
  </si>
  <si>
    <t>523-FIP-2021</t>
  </si>
  <si>
    <t>Construcción De La Plaza De Mercado Municipal De Alcalá - Valle Del Cauca</t>
  </si>
  <si>
    <t>DANIEL FERNANDO HERNANDEZ OLAYA</t>
  </si>
  <si>
    <t>556-FIP-2022</t>
  </si>
  <si>
    <t>CHIPATÁ</t>
  </si>
  <si>
    <t xml:space="preserve">Construcción De Placa Huellas En Las Veredas Hatillo, San Miguel Y Llano De San Juan Del Municipio De Chipata - Santander 
</t>
  </si>
  <si>
    <t>PROYECTOS ENTERRITORIO 069 2012</t>
  </si>
  <si>
    <t>GINNA MERCEDES TORO VALLEJOS</t>
  </si>
  <si>
    <t>069-FIP-2012</t>
  </si>
  <si>
    <t>PUERTO LIBERTADOR</t>
  </si>
  <si>
    <t>Infraestructura de Sistema de Alcantarillado</t>
  </si>
  <si>
    <t xml:space="preserve">TERMINACIÓN FASE 1: EXTENSIÓN DE REDES  DE ALCANTARILLADO SANITARIO  EN EL MUNICIPIO DE PUERTO LIBERTADOR, CÓRDOBA
</t>
  </si>
  <si>
    <t>2026-08-12: el contrato de Obra, sigue permaneciendo pendiente los empates finales de las Estaciones de Bombeo de Aguas Residuales (EBAR) Miraflores, 7 de Septiembre y Ramón Rubio, condicionados a la energización por parte de AFINIA – Caribemar de la Costa S.A.S. E.S.P. Dicha energización se encuentra supeditada al pago de la deuda que el municipio mantiene con el operador ($2.104.875.329). A la fecha, ENTerritorio S.A. hizo entrega del Manual de Operación y Mantenimiento, habilitando el inicio del plan de sostenibilidad, mientras que la suscripción del acuerdo de pago municipal con AFINIA constituye la variable crítica pendiente para habilitar la Auditoría Visible No. 3, el acta de recibo final y la liquidación del convenio.                                                                                               2026-06-01: proyecto sin novedades                                                                                                                                2026-05-25                                                                                                                                                                 Se esta a la espera de que el municipio relice acuerdo de pago como lo hizo el municipio de San Carlos para que la empresa prestadora de servicio de energia realice la energizacion de las estaciones elevadoras.                                                                                                                        2026-05-12                                                                                                                                                   Se convoco a mesa de trabajo el dia 12/05/2026, los participantes regional de cordoba, la empresa prestadora de servicio de energia, con la finalidad de llegar a un acuerdo o ver cual seria la ruta a seguir                                                                                                                              2026-04-28                                                                                                                                                   Se continua con el tema de la empresa prestadora de servicio de energia (Afinia) a la cual se le adeuda unos recursos, este es un tema que se sale de las mano a la Entidad                                                2026-04-06                                                                                                                                                                                 Se recomienda concretar y formalizar el análisis jurídico, orientado a determinar la viabilidad de una entrega al municipio mediante la cual la responsabilidad de la energización quede formalmente a cargo del mismo, liberando al contrato de obra, con las garantías y condiciones que amparen jurídicamente a Prosperidad Social.                        10/03/2026
1. En el Comité de Apoyo a la Supervisión del dia 09/03/2026, se propuso requerir al Municipio para que realice la recepción de las obras ya terminadas, toda vez que las entidades Prosperidad Social y Enterritorio, no tienen competencia para gestionar o asumir la deuda que el Municipio mantiene con la empresa prestadora del servicio de energía.
2. AFINIA el 3 de febrero de 2026, informó a la Gobernación que se deben radicar los proyectos como complejos y que el municipio debe estar al día ya que tiene deuda de $2.104.875.329.
3. Prosperidad Social viene adelantando mesa de trabajo con la Gobernación de Córdoba para acelerar el proceso de energización.
4. Se cuenta con certificados RETIE de las 3 estaciones elevadoras. ENTerritorio S.A.
5. Proyecto terminado el 06 de marzo de 2025.</t>
  </si>
  <si>
    <t>580-FIP-2022</t>
  </si>
  <si>
    <t>MONTERÍA</t>
  </si>
  <si>
    <t xml:space="preserve">Mejoramiento y mantenimiento de vías en los barrios el dorado, campo alegre, la esperanza y Manuel Jiménez que hacen parte de la margen occidental en el municipio de Montería, Departamento de Córdoba
</t>
  </si>
  <si>
    <t>2026-08-19. El último avance físico reportado por la interventoría, con corte al 9 de agosto de 2026, corresponde al 80,21 %. Persiste la oposición de la comunidad del barrio Campo Alegre, lo que continúa afectando la ejecución de actividades en dicho frente. El municipio ha manifestado de manera informal la ocurrencia de situaciones que han impactado los rendimientos y la posible necesidad de prorrogar el convenio; sin embargo, a la fecha no se había presentado solicitud formal.
2026-07-30. El contrato de obra registra un avance físico acumulado del 77,86% con corte al 26 de julio de 2026, frente a un avance programado del 77,63%, por lo que presenta un adelanto marginal de 0,23 puntos porcentuales respecto de la programación. El cronograma mantiene como objetivo culminar las obras al 30 de agosto de 2026; no obstante, el oficio de la interventoría señala que el plazo del contrato de obra se encuentra vigente hasta el 31 de agosto de 2026, diferencia que deberá tenerse en cuenta en el seguimiento contractual.
El formato de ejecución evidencia avances en actividades de pavimento, excavaciones, rellenos, acero de refuerzo, cunetas, sumideros, espacio público y obras no previstas. Sin embargo, permanecen pendientes o con ejecución parcial actividades relacionadas con señalización vertical, demarcación vial, reductores de velocidad, geotextiles, rellenos, sumideros, registros y tuberías de alcantarillado, bordillos, realce de tapas y demás obras complementarias. Algunos ítems aún registran 0% de ejecución, entre ellos componentes de señalización y varios ítems no previstos asociados a drenaje, alcantarillado y espacio público.
Se identifica una alerta social crítica en el barrio Campo Alegre, donde la oposición reiterada de la comunidad ha impedido ejecutar obras hidráulicas y de drenaje pluvial técnicamente aprobadas, particularmente los cruces hidráulicos de las calles 31B y 32 con carrera 2B, la instalación de tubería de 14 pulgadas en la calle 32 entre carreras 2W y 4W y la construcción de una cuneta paralela a la carrera 4W. Aunque se han adelantado reuniones, visitas técnicas y espacios de diálogo con acompañamiento de la Contraloría General de la República, no se ha logrado una solución definitiva.
Mediante oficio 178-1-4694 del 30 de julio de 2026, la interventoría requirió al municipio adoptar una decisión inmediata para garantizar la apertura de los frentes bloqueados. En caso de persistir la oposición, propuso documentar formalmente la imposibilidad de ejecutar las obras y evaluar el traslado de los recursos hacia otros frentes con viabilidad técnica y aceptación comunitaria. Esta última alternativa corresponde a una solicitud de la interventoría y no se encuentra reportada como aprobada. La situación compromete la terminación integral del alcance, la funcionalidad del drenaje y el cumplimiento del plazo, por lo cual el objetivo de cierre al final de agosto debe considerarse en riesgo hasta que el municipio defina y ejecute una ruta concreta de solución.
2026-07-17. El contrato de obra presenta un avance físico del 76,39%, conforme al informe semanal con corte al 12 de julio de 2026. Para ese mismo corte se registró un avance programado del 75,54%, por lo que la ejecución se encontraba ligeramente por encima de la programación. La prórroga del convenio hasta el 30 de agosto de 2026 ya fue formalizada.
Entre las actividades pendientes se identifican frentes parcialmente ejecutados asociados a subbase, geotextil, rellenos, acero de refuerzo, cunetas, elementos de espacio público y actividades no previstas. También permanecen sin ejecución algunos ítems de señalización y demarcación vial, reductores de velocidad, registros y elementos de alcantarillado, dispositivos de drenaje, bordillos y tuberías. La prioridad se concentra en completar las obras adicionales incorporadas al alcance, verificar su calidad y funcionalidad y avanzar posteriormente hacia el recibo final del proyecto
2026-07-14. Proyecto vial en ejecución, con avance físico actualizado de 75,07% sobre el nuevo alcance, contrato de obra modificado e interventoría vigente. Está en trámite prórroga hasta el 30 de agosto de 2026 para culminar obras adicionales y recibo final.
2026-06-10. Actualmente, se adelanta el trámite de prórroga del convenio por dos (2) meses adicionales, con ampliación proyectada hasta el 30 de agosto. Se actualiza porcentaje de avance, anteriormente estaba en 90%, sin embargo actualizando el alcance a causa de la incorporación del adicional, el nuevo reporte es de 72,77%.
2026-05-26. Continua en ejecución requiere progrroga de 2 meses en tiempo. 
2026-05-19. El proyecto se encuentra reiniciado y actualmente en ejecución, sin novedades adicionales reportadas. Una vez la interventoría remita el informe semanal, se informarán los avances correspondientes.
2026-05-12. Se reinició convenio el día 11/05/2026.
2026-05-04. Actualmente, se encuentra pendiente la suscripción del otrosí por parte del Subdirector, Dr. Pastrana.
2026-04-27. El otrosí se encuentra en cadena de aprobación y se proyecta su suscripción durante la presente semana. Una vez formalizado, el municipio podrá adelantar la modificación del contrato de obra, con miras a reiniciar actividades en el corto plazo, estimándose un posible reinicio hacia finales de la próxima semana.
2026-04-21. La semana pasada se enviaron las subsanaciones a las últimas observaciones y se está a la espera del pronunciamiento por parte de la oficina de contratos.
2026-03-09. Actualmente se encuentra en revisión del modificatorio No 8 referente a un otro sí aclaratorio para los saldos de Prosperidad incluídos en el convenio.
2026-02-16. Se está revisando el borrador del aclaratorio por parte de la oficina de contratos.
2025-02-09. Se realizó modificación al convenio para ingtegrar los recursos dispuestos por la Entidad Territorial al convenio, sin embargo por parte de la alcaldía se solicitó un aclaratorio al modificatorio en torno al excedente de los recursos ya desembolsados por Prosperidad Social, esta aclaraciónn se solicitó desde la coordinación desde el 20 de enero a Contratos, sin embrago aún no han dado respuesta.</t>
  </si>
  <si>
    <t>LUIS MAURICIO CARRILLO DIAZ</t>
  </si>
  <si>
    <t>562-FIP-2022</t>
  </si>
  <si>
    <t>EL RETÉN</t>
  </si>
  <si>
    <t>Construcción De Pavimento Rígido En Vias Urbanas De La Cabecera Municipal De El Reten - Magdalena</t>
  </si>
  <si>
    <t>2026-05-14. Se realizó la Auditoría Visible No. 3 el 18 de marzo de 2026. Posteriormente, se solicitó al Ente Territorial la remisión de estados financieros y demás documentos requeridos para adelantar la liquidación del convenio; sin embargo, a la fecha no se ha recibido respuesta por parte del municipio.
El municipio no ha remitido plan de sostenibilidad, se espera efectuar esta etapa para programar AV3. Pedir a la interventoría las Actas pendientes
Programar reunión con la ET
Revisar con la gerente regional Liliana Escudero y dejar la reunión como compromiso de gestión que le corresponde.</t>
  </si>
  <si>
    <t>CAQUETÁ</t>
  </si>
  <si>
    <t>BELÉN DE LOS ANDAQUÍES</t>
  </si>
  <si>
    <t>Construcción de la plaza de mercado en el municipio de Belén de los Andaquíes, Caquetá</t>
  </si>
  <si>
    <t>GR CAQUETÁ</t>
  </si>
  <si>
    <t>RÍO QUITO</t>
  </si>
  <si>
    <t>Baterias Comunitarias</t>
  </si>
  <si>
    <t>Estudios, diseños y construcción de tres (3) baterías sanitarias en el consejo comunitario Villa Conto - (Bocas de Apartadó, Chigurandó y Pueblo Nuevo) Municipio de Rio Quito - Chocó​</t>
  </si>
  <si>
    <t>GR CHOCÓ</t>
  </si>
  <si>
    <t>TADÓ</t>
  </si>
  <si>
    <t>Casa Comunitaria</t>
  </si>
  <si>
    <t>Estudios, diseños y mejoramiento de dos casas comunitarias del consejo comunitario ASOCASAN en Playa de Oro y EL Carmelo, Municipio de Tadó - Chocó</t>
  </si>
  <si>
    <t>BALBOA</t>
  </si>
  <si>
    <t>2026-05-05 - El ente territorial no presentó la subsanación a las observaciones formuladas sobre la información inicialmente radicada.                                                                                                                                                            2026-02-16 - Incumplimiento de compromisos, demiloción de caseta y adecuaciones.</t>
  </si>
  <si>
    <t>SIMITÍ</t>
  </si>
  <si>
    <t>Obra Terminada</t>
  </si>
  <si>
    <t xml:space="preserve">2026-05-25 - Obra Terminada                                                                                                                                                            
2026-05-19 - Continua en ejecución sin ningún inconveniente                                                                                                                                                            
2026-05-11 - Continua en ejecución sin ningún inconveniente                                                                                                                                                            
2026-05-05 - Continua en ejecución sin ningún inconveniente                                                                                                                                                   
2026-04-27 - En trámite de solicitud de prórroga por el termino de 1 mes. En citación comités.                                                                                                                                                 
2026-04-20 - Suspendido                                                                                                                                                   
2026-04-13 - Suspendido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</si>
  <si>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GR MAGDALENA MEDIO</t>
  </si>
  <si>
    <t>SANTA ROSA DEL SUR</t>
  </si>
  <si>
    <t xml:space="preserve">2026-07-30 - Obra Terminada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</si>
  <si>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CAJIBÍO</t>
  </si>
  <si>
    <t>Ejecucion Act- 2 Obra</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</si>
  <si>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Suspendido desde el 4 de mayo                                                                                                                                                            
2026-05-19 - Suspendido desde el 4 de mayo                                                                                                                                                            
2026-05-11 - Suspendido desde el 4 de mayo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</si>
  <si>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MORALES</t>
  </si>
  <si>
    <t>Obra Entregada</t>
  </si>
  <si>
    <t xml:space="preserve">2026-08-20 - Obra Entregada
2026-04-13 - Obra terminada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</si>
  <si>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META</t>
  </si>
  <si>
    <t>MAPIRIPÁN</t>
  </si>
  <si>
    <t xml:space="preserve">Ejecucion Act- 2 Obra </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</si>
  <si>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</si>
  <si>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GR META</t>
  </si>
  <si>
    <t xml:space="preserve">LLANOS ORIENTALES - ORINOQUÍA </t>
  </si>
  <si>
    <t>339-DPS-2025</t>
  </si>
  <si>
    <t>TERMINACIÓN "CONSTRUCCIÓN PLAZA DE MERCADO MUNICIPIO BARBACOAS - NARIÑO" DEL CONVENIO INICIAL # 559-FIP-2021, ID PROYECTO # 12212</t>
  </si>
  <si>
    <t>2026-05-19. Se dieron 10 días para realizar firma del acta de recibo final, falta documentación para ruta de liquidación.
2026-04-28. Resultado de las mesas técnico-Jurídica se determinó ruta de Subsanación de condiciones para liquidación del convenio interadministrativo.
2026-04-21. El jueves 16 de abril se realizó reunión técnico jurídica en compañía de contractual, contratos y supervisores. Allí se expuso que todo sigue igual, el contratista pide que le paguen el 20% que está en trámite de pasivo para firmar liquidación y para el acta de entrega de la obra.
2026-03-09. Proyecto se encuentra en etapa de diagnóstico por parte de E.T. con el objetivo de conocer el estado actual de la obra.
2025-02-16. Se plantea la realización de visita técnica para diagnóstico y pertinencia.</t>
  </si>
  <si>
    <t>ARAUQUITA</t>
  </si>
  <si>
    <t>2026-08-20- Continua en enjecución sin ningún incoveniente                                                                                                                            
2026-07-30- Continua en enjecución sin ningún incoveniente                                                                                                                            
2026-06-30- Suspendido por 1 mes comite tecnico 105 incovenientes por orden publico                                                                                                                            
2026-06-22- Suspendido por 1 mes comite tecnico 105 incovenientes por orden publico                                                                                                                            
2026-06-16- Suspendido por 1 mes comite tecnico 105 incovenientes por orden publico                                                                                                                            
2026-06-09- Suspendido por 1 mes comite tecnico 105 incovenientes por orden publico                                                                                                                            
2026-06-01- Continua en ejecución sin ningún inconveniente                                                                                                                              
2026-05-25- Continua en ejecución sin ningún inconveniente                                                                                                                              
2026-05-19 - Continua en ejecución sin ningún inconveniente                                                                                                                              
2026-05-11 - Continua en ejecución sin ningún inconveniente                                                                                                                              
2026-05-05 - Continua en ejecución sin ningún inconveniente                                                                                                                              
2026-04-27 - Empieza Obra                                                                                                                                
2026-04-20 - Sin Novedad
2026-04-13 - Sin Novedad                                                                                                                                      
2026-03-30 - Sin Novedad                                                                                                                                     
2026-03-24 - Sin Novedad                                                                                                                                    
2026-03-16 - Sin Novedad                                                                                                                                      
2026-03-10 - Sin Novedad                                                                                                                                    
2026-03-02 - Sin Novedad                                                                                                                                  
2026-02-23 - Sin Novedad</t>
  </si>
  <si>
    <t>BOJAYÁ</t>
  </si>
  <si>
    <t xml:space="preserve">2026-08-20 - Continua en ejecución sin ningún inconveniente                                                                                                                                                            
2026-07-30 - Continua en ejecución sin ningún inconveniente                                                                                                                                                            
2026-06-30 - Continua en ejecución sin ningún inconveniente                                                                                                                                                            
2026-06-22 -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Proyecto proximo a iniciar Act 2 obra	
2026-03-30 - Sin Novedad                                                                                                                                     
2026-03-24 - Sin Novedad                                                                                                                                    
2026-03-16 - Sin Novedad                                                                                                                                      
2026-03-10 - Sin Novedad                                                                                                                                    
2026-03-02 - Sin Novedad                                                                                                                                  
2026-02-23 - Sin Novedad                                                                                                                                                      </t>
  </si>
  <si>
    <t>NECHÍ</t>
  </si>
  <si>
    <t>Por iniciar actividad 1: Estudios y Diseños</t>
  </si>
  <si>
    <t xml:space="preserve">2026-08-20- Por Iniciar Act 1 Estudios y Diseños (Despues del estudio de Presupuesto se Opto por Nechi 
2026-07-30- Por Iniciar Act 1 Estudios y Diseños (Despues del estudio de Presupuesto se Opto por Nechi 
2026-06-30- Por Iniciar Act 1 Estudios y Diseños (Despues del estudio de Presupuesto se Opto por Nechi 
2026-06-22- Por Iniciar Act 1 Estudios y Diseños (Despues del estudio de Presupuesto se Opto por Nechi 
2026-06-16 - Por Iniciar Act 1 Estudios y Diseños (Despues del estudio de Presupuesto se Opto por Nechi 
20260310 - No Viable por presupuesto - El proyecto no pudo dar inicio a la Actividad 1 debido a que la documentación entregada por el ente territorial durante la etapa de alistamiento fue parcial e incompleta. La insuficiencia de información técnica impidió contar con los insumos necesarios para el inicio de la actividad.
20260302 - Continua en ejecución sin inconveniente         
20260223 - Continua en ejecución sin inconveniente                                                                                                                                                                                                                                     
</t>
  </si>
  <si>
    <t>TEORAMA</t>
  </si>
  <si>
    <t xml:space="preserve">2026-08-20 -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2026-05-11 -Suspendido - Afectaciones en la ejecución de la obra debido a paro campesino en la región.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</si>
  <si>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SAN VICENTE DEL CAGUÁN</t>
  </si>
  <si>
    <t>Por Contratar</t>
  </si>
  <si>
    <t xml:space="preserve">2026-07-30 Se adelantó nuevamente visita de inspección al predio propuesto por el ente territorial. En elaboración de la ficha de viabilidad acorde a las condiciones evidenciadas en visita. Pendiente definición de proyectos habilitados para pasar a estructuración y apertura de convocatoria contrato de obra.
2026-05-30 Los procesos de selección de Caquetá, se encuentran en análisis, dado que no se cuenta con los recursos suficientes para atender los 10 PAS que se presentaron en este Departamento. 
Actualmente se está adelantando un balance de contrato que permita establecer cuantos puntos del departamento son posibles de hacer. 
2026-04-27 - Se adelantó nuevamente visita de inspección al predio propuesto por el ente territorial. En elaboración de la ficha de viabilidad acorde a las condiciones evidenciadas en visita. Pendiente definición de proyectos habilitados para pasar a estructuración y apertura de convocatoria contrato de obra.
</t>
  </si>
  <si>
    <t>NÓVITA</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</si>
  <si>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Suspendido                                                                                                                                                   
2026-03-24 - Suspendido                                                                                                                                                   
2026-03-16 - Suspendido                                                                                                                                                   
2026-03-10 - Continua en ejecución sin ningún inconveniente                                                                                                                                                   
2026-03-02 - Continua en ejecución sin ningún inconveniente                                                                                                                                                   
2026-02-23 - Continua en ejecución sin ningún inconveniente                                                                                           </t>
  </si>
  <si>
    <t>GUAPI</t>
  </si>
  <si>
    <t xml:space="preserve">2026-08-20 - Continua en ejecución sin ningún inconveniente                                                                                                                                                            
2026-07-30 - Continua en ejecución sin ningún inconveniente                                                                                                                                                            
2026-06-30 - Continua en ejecución sin ningún inconveniente                                                                                                                                                            
2026-06-22 - Continua en ejecución sin ningún inconveniente                                                                                                                                                            
2026-06-16 - Suspendido - Graves deterioros en el orden público, situación que generó militarización y restricciones de movilidad                                                                                                                                                            
2026-06-09 - Suspendido - Graves deterioros en el orden público, situación que generó militarización y restricciones de movilidad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Sin novedad                                                                                                                       
2026-03-02 - Inicia Obra enero 2026                                                                                                                       
2026-02-23 - Inicia Obra enero 2026                                                                                               </t>
  </si>
  <si>
    <t>CAREPA</t>
  </si>
  <si>
    <t xml:space="preserve">2026-08-20 - Obra terminada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estado suspendido                                                                                                                                                        
2026-05-19 - Continua en estado suspendido                                                                                                                                                        
2026-05-11 - Continua en estado suspendido                                                                                                                                                        
2026-05-05 - Continua en estado suspendido                                                                                                                                                        
2026-04-27 - Proyecto suspendido desde el 20/04/2026 por un mes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Suspendido                                                                                                                                                  
2026-03-02 - Continua en ejecución sin ningún inconveniente                                                               
2026-02-23 - Continua en ejecución sin ningún inconveniente </t>
  </si>
  <si>
    <t>NECOCLÍ</t>
  </si>
  <si>
    <t xml:space="preserve">2026-07-30 -Obra Terminada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estado suspendido                                                                                                                                                        
2026-05-19 - Continua en estado suspendido                                                                                                                                                        
2026-05-11 - Continua en estado suspendido                                                                                                                                                        
2026-05-05 - Proyecto suspendido desde el 20/04/2026 por un mes
2026-04-27 - Proyecto suspendido desde el 20/04/2026 por un mes
2026-04-20 - Continua en ejecución sin ningún inconveniente
2026-04-13 - Continua en ejecución sin ningún inconveniente                                                                                                                                                   
2026-03-30 - Continua en ejecución sin ningún inconveniente                                                                                                                                                                                                                                                                                               2026-03-24 - Suspendido                                                                                                                                                                                                                                            2026-03-16 - Suspendido                                                                                                                                                                                                        
2026-03-10 - Suspendido                                                                                                                             
2026-03-02 - Continua en ejecución sin ningún inconveniente                                                           
2026-02-23 - Continua en ejecución sin ningún inconveniente                                                                                           </t>
  </si>
  <si>
    <t>PUTUMAYO</t>
  </si>
  <si>
    <t>PUERTO LEGUÍZAMO</t>
  </si>
  <si>
    <t>Cierre Actividad 1: Estudios y Diseños</t>
  </si>
  <si>
    <t>2026-08-20 - Sin Novedad 
2026-07-30 - Sin Novedad 
2026-06-22 - Sin Novedad 
2026-06-16 - Sin Novedad 
2026-06-09 - Sin Novedad 
2026-06-01 - Sin Novedad 
2026-05-25 - Sin Novedad 
2026-05-19 - Sin Novedad 
2026-05-11 - Sin Novedad 
2026-05-05 - Sin Novedad 
2026-04-27 - Se están cerrando observaciones al presupuesto, específicamente relacionadas con el valor del transporte, para lo cual se solicitaron ajustes adicionales. En este momento, estamos a la espera de que el contratista realice las subsanaciones correspondientes.
2026-04-20 - Sin Novedad
2026-04-13 - Se están cerrando observaciones al presupuesto, específicamente relacionadas con el valor del transporte, para lo cual se solicitaron ajustes adicionales. En este momento, estamos a la espera de que el contratista realice las subsanaciones correspondientes
2026-03-30 - Sin Novedad                                                                                                                                     
2026-03-24 - Sin Novedad                                                                                                                                    
2026-03-16 - Sin Novedad                                                                                                                                      
2026-03-10 - Sin Novedad                                                                                                                                    
2026-03-02 - Sin Novedad                                                                                                                                  
2026-02-23 - Sin Novedad</t>
  </si>
  <si>
    <t>GR PUTUMAYO</t>
  </si>
  <si>
    <t>ARENAL</t>
  </si>
  <si>
    <t xml:space="preserve">2026-08-20 - Obra Entregada
2026-04-27 – Obra Terminada                                                          
2026-04-20 - Continua en ejecución sin ningún inconveniente     
2026-04-13 - Continua en ejecución sin ningún inconveniente                                                                                                                                                                                                                                                                               
2026-03-30 - Suspendido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</si>
  <si>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No Viable</t>
  </si>
  <si>
    <t>Los procesos de selelcción de Caquetá, se encuentran en análisis, dado que no se cuenta con los recursoso suficientes para atender los 10 PAS que se presentaron en este Departamento. Actualmente se esta adelantando un balance de contrato que permita establecer cuantos puntos del departamento son posibles de hacer.                                                                                             2026-04-27 - Se adelantó nuevamente visita de inspección al predio propuesto por el ente territorial. En elaboración de la ficha de viabilidad acorde a las condiciones evidenciadas en visita. Pendiente definición de proyectos habilitados para pasar a estructuración y apertura de convocatoria contrato de obra.</t>
  </si>
  <si>
    <t>CESAR</t>
  </si>
  <si>
    <t>BECERRIL</t>
  </si>
  <si>
    <t xml:space="preserve">2026-07-30 - Obra Terminada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</si>
  <si>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 xml:space="preserve">GR CESAR </t>
  </si>
  <si>
    <t>MARÍA LA BAJA</t>
  </si>
  <si>
    <t xml:space="preserve">2026-07-30 - Obra Terminada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</si>
  <si>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SAN DIEGO</t>
  </si>
  <si>
    <t xml:space="preserve">2026-07-30 - Obra Terminada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</si>
  <si>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SUCRE</t>
  </si>
  <si>
    <t>COLOSÓ</t>
  </si>
  <si>
    <t xml:space="preserve">
2026-08-20 - Continua en ejecución sin ningún inconveniente                                                                                                                                                            
2026-07-30 - Continua en ejecución sin ningún inconveniente                                                                                                                                                            
2026-06-16 - Continua en ejecución sin ningún inconveniente                                                                                                                                                            
2026-06-09 - Continua en ejecución sin ningún inconveniente                                                                                                                                                            
2026-06-01 - Continua en ejecución sin ningún inconveniente                                                                                                                                                            
2026-05-25 - Jurídico: Se solicitó el inicio del proceso de apremio debido a los atrasos evidenciados en la ejecución del contrato, requerimiento que fue remitido al área jurídica el pasado 10 de abril, donde actualmente se encuentra en revisión para el trámite correspondiente.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</si>
  <si>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GR SUCRE</t>
  </si>
  <si>
    <t>VISTAHERMOSA</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</si>
  <si>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</si>
  <si>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BRICEÑO</t>
  </si>
  <si>
    <t>No Viable – El predio inicialmente postulado ya no está disponible
El predio se considera no viable jurídicamente porque el municipio no es titular del derecho real de dominio; según la Escritura 327 del 19 de junio de 2000 (Notaría 1 de Yarumal), solo adquirió derechos herenciales, lo que constituye falsa tradición respecto a la Parroquia de Briceño. Además, el municipio no dispone de otro predio para postular el proyecto PAS, el área es limitada y aproximadamente el 30% presenta una pendiente muy elevada.</t>
  </si>
  <si>
    <t>TIERRALTA</t>
  </si>
  <si>
    <t xml:space="preserve">2026-07-30 - Obra terminada                                                                                                                                                                      2026-04-13 - Obra terminada                                                                                                                                                                      2026-03-16 - Sin Novedad                                                                                                                                                                        
2026-03-24 - Sin Novedad 
2026-03-16 - Retoma Obra          
2026-03-10 - Obra Suspendida    
2026-03-02 - Obra Suspendida     
2026-02-23- Obra Suspendida                                                                                                                                                                                                                                                                                                                                                                                                                                                                     </t>
  </si>
  <si>
    <t>PUERTO LLERAS</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</si>
  <si>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Inicia Obra
2026-05-11 - Sin Novedad
2026-04-27 - Técnico: Licencia expedida. En coordinación para inicio del proyecto                                                                                                                                    
2026-04-20 - Sin Novedad
2026-04-13 - Sin Novedad                                                                                                                                      
2026-03-30 - Sin Novedad                                                                                                                                     
2026-03-24 - Sin Novedad                                                                                                                                    
2026-03-16 - Sin Novedad                                                                                                                                      
2026-03-10 - Sin Novedad                                                                                                                                    
2026-03-02 - Sin Novedad                                                                                                                                  
2026-02-23 - Sin Novedad                                                                                                                                                     </t>
  </si>
  <si>
    <t>MANAURE BALCÓN DEL CESAR</t>
  </si>
  <si>
    <t xml:space="preserve">2026-04-27 - Obra Terminada
2026-04-20 - Suspendido
2026-04-13 - Suspendido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</si>
  <si>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EL CARMEN DE BOLÍVAR</t>
  </si>
  <si>
    <t xml:space="preserve">2026-07-30 - Obra Terminada                                                                                                                                                            
2026-06-30 - Continua en ejecución sin ningún inconveniente                                                                                                                                                            
2026-06-22 - En trámite apremio al cto de obra                                                                                                                                                            
2026-06-16 - Obra Suspendida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</si>
  <si>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BUENAVENTURA</t>
  </si>
  <si>
    <t>2026-02-16 - Incumplimiento de compromisos, tala de árboles y adecuación de lote.                                                                                                                                   El municipio no cumplió con los compromisos requeridos para el otorgamiento de la viabilidad del proyecto.</t>
  </si>
  <si>
    <t>AGUSTÍN CODAZZI</t>
  </si>
  <si>
    <t xml:space="preserve">2026-08-20 - Obra Entregada                                                                                                                                                           
2026-07-30 - Obra Terminada                                                                                                                                                            
2026-06-30 - Suspendido                                                                                                                                                            
2026-06-22 - Suspendido                                                                                                                                                            
2026-06-16 - Continua en ejecución sin ningún inconveniente                                                                                                                                                            
2026-06-09 - Continua en ejecución sin ningún inconveniente                                                                                                                                                            
2026-06-01 - Continua en ejecución sin ningún inconveniente                                                                                                                                                            
2026-05-25 - Sin Novedad                                                                                                                                                            
2026-05-19 - Supendido - No aplica en estado de avance de obra actual. Se solicitará a contratistas iniciar gestiones para garantizar en lo posible oportunidad en el trámite.                                                                                                                                                                                                                                                                       2026-05-11 - Supendido - No aplica en estado de avance de obra actual. Se solicitará a contratistas iniciar gestiones para garantizar en lo posible oportunidad en el trámite.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</si>
  <si>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PUEBLO BELLO</t>
  </si>
  <si>
    <t xml:space="preserve">2026-08-20 - Continua en ejecución sin ningún inconveniente                                                                                                                                                            
2026-07-30 - Obra suspendida                                                                                                                                                            
2026-06-30 - Obra suspendida                                                                                                                                                            
2026-06-22 - Obra suspendida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</si>
  <si>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VALLE DEL GUAMUEZ</t>
  </si>
  <si>
    <t xml:space="preserve">2026-08-20 - Continua en ejecución sin ningún inconveniente                                                                                                                                                            
2026-07-30 -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</si>
  <si>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MIRANDA</t>
  </si>
  <si>
    <t>Ejecucion Act- 2 Obra - Suspendido</t>
  </si>
  <si>
    <t xml:space="preserve">2026-08-20 - Obra Suspendida                                                                                                                                                            
2026-07-30 - Continua en ejecución sin ningún inconveniente                                                                                                                                                            
2026-06-30 - Suspendido                                                                                                                                                            
2026-06-22 - Suspendido                                                                                                                                                            
2026-06-16 - Continua en ejecución sin ningún inconveniente                                                                                                                                                            
2026-06-09 - Continua en ejecución sin ningún inconveniente                                                                                                                                                            
2026-06-01 - Continua en ejecución sin ningún inconveniente                                                                                                                                                            
2026-05-25 - Continua en ejecución sin ningún inconveniente                                                                                                                                                           
2026-05-19 - Inicio obra el 30 de abril de 2026                                                                                                                                                            
2026-05-11 - Inicio obra el 30 de abril de 2026                                                                                                                                                            
2026-05-05 -  En cierre presupuestal para dar inicio a la actividad 2 ejecución.                                                                                                                               
2026-04-27 - Se expidió licencia de construcción por parte del municipio. En cierre presupuestal para dar inicio a la actividad 2 ejecución.                                                                                                                               
2026-04-20 - Sin Novedad
2026-04-13 - Sin Novedad                                                                                                                                      
2026-03-30 - Sin Novedad                                                                                                                                     
2026-03-24 - Sin Novedad                                                                                                                                    
2026-03-16 - Sin Novedad                                                                                                                                      
2026-03-10 - Sin Novedad                                                                                                                                    
2026-03-02 - Sin Novedad                                                                                                                                  
2026-02-23 - Sin Novedad                                                                                                                                                     </t>
  </si>
  <si>
    <t>594-FIP-2021</t>
  </si>
  <si>
    <t>SAN ANDRÉS DE TUMACO</t>
  </si>
  <si>
    <t>Muelles</t>
  </si>
  <si>
    <t>Estudios Tecnicos, Diseños Y Construccion De 2 Muelles En Las Veredas De Guabal Y Guachíre  Ambos Pertenecientes Al  Distrito De Tumaco - Nariño , Así Como Con El Propósito De Aportar A La Inclusión Socioeconómica, La Superación De La Pobreza, La Consolidación De Territorios Y La Generación De Espacios Comunitarios Para La Reintegración, Estabilización Y Reconciliación Social</t>
  </si>
  <si>
    <t>TERMINACIÓN ESTUDIOS Y DISEÑOS</t>
  </si>
  <si>
    <t>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Sin Novedad Inicio Obra en febrero                                                                                                                                                   
2026-03-02 - Sin Novedad Inicio Obra en febrero                                                                      
2026-02-23 - Sin Novedad</t>
  </si>
  <si>
    <t>HACARÍ</t>
  </si>
  <si>
    <t xml:space="preserve">2026-08-20 - Sin Novedad
2026-07-30 - Sin Novedad
2026-06-22 - Problemas de orden publico (ELN)
2026-06-16 - Problemas de orden publico (ELN)
2026-06-09 - Sin Novedad 
2026-06-01 - Sin Novedad 
2026-05-25 - Sin Novedad 
2026-05-19 - Sin Novedad
2026-05-11 - Sin Novedad
2026-05-05 - Sin Novedad
2026-04-27 - Jurídico: Pendiente Actualización del Certificado de libertad y tradición, con el ajuste y ampliación del area del lote.
Técnico: Proximidad del predio a una vía de 2 orden que requiere franjas de distanciamiento.                                                                                                                                  
2026-04-20 - Sin Novedad
2026-04-13 - Sin Novedad                                                                                                                                      
2026-03-30 - Sin Novedad                                                                                                                                     
2026-03-24 - Sin Novedad                                                                                                                                    
2026-03-16 - Sin Novedad                                                                                                                                      
2026-03-10 - Sin Novedad                                                                                                                                    
2026-03-02 - Sin Novedad                                                                                                                                  
2026-02-23 - Sin Novedad                                                                                                                                                     </t>
  </si>
  <si>
    <t>AMALFI</t>
  </si>
  <si>
    <t xml:space="preserve"> $ 6.550.046.449,60 </t>
  </si>
  <si>
    <t xml:space="preserve">2026-07-30 - Obra Terminada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estado suspendido                                                                                                                                                        
2026-05-19 - Continua en estado suspendido                                                                                                                                                        
2026-05-11 - Continua en estado suspendido                                                                                                                                                        
2026-05-05 - Continua en estado suspendido                                                                                                                                                        
2026-04-27 - Proyecto suspendido desde el 20/04/2026 por un mes
2026-04-20 - Continua en ejecución sin ningún inconveniente
2026-04-13 - Continua en ejecución sin ningún inconveniente                                                                                                                                                   
2026-03-30 - Suspendido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</si>
  <si>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ZAMBRANO</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</si>
  <si>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En trámite de solicitud de prórroga por el termino de 2 meses. En citación comités.                                                                                                                                                 
2026-04-20 - Suspendido                                                                                                                                                   
2026-04-13 - Suspendido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</si>
  <si>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VALENCIA</t>
  </si>
  <si>
    <t xml:space="preserve">2026-08-20 - Obra Entregada                                                                                                                                                                            2026-2026-04-13 - Obra terminada                                                                                                                                                                      2026-03-16 - Sin Novedad                                                                                                                                                                        
2026-03-24 - Sin Novedad 
2026-03-16 - Retoma Obra          
2026-03-10 - Obra Suspendida    
2026-03-02 - Obra Suspendida     
2026-02-23- Obra Suspendida                                                                                                                                                                                                                                                                                                                                                                                                                                                                     </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</si>
  <si>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suspendido
2026-06-09 - Continua suspendido
2026-06-01 - Continua suspendido
2026-05-25 - Suspendido                                                                                                                                                            
2026-05-19 -  Suspendido 
2026-05-11 -  Suspendido 
2026-05-05 -  Suspendido 
2026-04-27 - Jurídico: En revisión solicitud de prórroga por término de 3 meses.
Técnico:  Implantacion del proyecto en una cancha de chaza.
Social: Comunidad se opone al proyecto. En gestión.                                                                                                                                                                                                         2026-04-20 - Suspendido 
2026-04-13 -  Suspendido    Jurídico: En revisión solicitud de prórroga por término de 3 meses.
Técnico:  Implantacion del proyecto en una cancha de chaza.
Social: Comunidad se opone al proyecto. En gestión.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</si>
  <si>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GUAINÍA</t>
  </si>
  <si>
    <t>INÍRIDA</t>
  </si>
  <si>
    <t xml:space="preserve">2026-08-20 - Obra Suspendida                                                                                                                                                            
2026-07-30 - Obra Suspendida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</si>
  <si>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GR GUAINÍA</t>
  </si>
  <si>
    <t>FUNDACIÓN</t>
  </si>
  <si>
    <t xml:space="preserve">2026-07-30 - Termino de Obra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</si>
  <si>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PRADERA</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</si>
  <si>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Sin Novedad
2026-05-19 - Sin Novedad
2026-05-11 - Sin Novedad
2026-05-05 -Jurídico: En revisión solicitud de prórroga por término de 3 meses..                                    Social: Comunidad y vendedores de  la plaza de mercado vecina se oponen al proyecto.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</si>
  <si>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CALI</t>
  </si>
  <si>
    <t>Centro Memoria</t>
  </si>
  <si>
    <t>Infraestructura Centro de Memoria. Cali, Valle del Cauca</t>
  </si>
  <si>
    <t>Proyecto excluido en comité técnico 2025-11-07, lo cual se protocolizó a través del otrosí No. 1</t>
  </si>
  <si>
    <t>Infraestructura Social Escolar</t>
  </si>
  <si>
    <t>Construcción de infraestructura Social Educativa en la ciudad de Cali</t>
  </si>
  <si>
    <t>Sin Convenio - No viable</t>
  </si>
  <si>
    <t xml:space="preserve"> - No se logró la firma del convenio entre el ente territorial y Findeter antes de la ley de garantías de novimenre de 2025. Por esta razón este PAS entre en estado de No Viable                                                              2026-03-25 - NO esta interesado en el proyecto por los recursos para lograr la sostenibilidad del mismo, adicional el cumplimiento de los requisitos del predio postulado (servicios publicos) </t>
  </si>
  <si>
    <t>344-DPS-2025</t>
  </si>
  <si>
    <t>TERMINACIÓN "CONSTRUCCIÓN PLAZA DE MERCADO CALIMA DARIÉN - VALLE DEL CAUCA" DEL CONVENIO INICIAL # 382-FIP-2021, ID PROYECTO # 12582</t>
  </si>
  <si>
    <t>SARAVENA</t>
  </si>
  <si>
    <t xml:space="preserve">2026-08-20 - Obra Supendida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</si>
  <si>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URIBE</t>
  </si>
  <si>
    <t xml:space="preserve">2026-08-20 -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</si>
  <si>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SAN JUAN DEL CESAR</t>
  </si>
  <si>
    <t xml:space="preserve">2026-04-13 - Obra Terminada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</si>
  <si>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SAN MIGUEL</t>
  </si>
  <si>
    <t>Obra terminada</t>
  </si>
  <si>
    <t xml:space="preserve">2026-07-30 - Obra Terminada                                                                                                                                                             
2026-06-22 - Suspendido                                                                                                                                                            
2026-06-16 - Suspendido                                                                                                                                                            
2026-06-09 - Suspendido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</si>
  <si>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CALOTO</t>
  </si>
  <si>
    <t>CALAMAR</t>
  </si>
  <si>
    <t xml:space="preserve">2026-08-20 - Continua Suspendido                                                                                                                                                            
2026-07-30 - Suspendido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</si>
  <si>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Suspendido desde el 4 de mayo                                                                                                                                                           
2026-05-19 - Suspendido desde el 4 de mayo                                                                                                                                                           
2026-05-11 - Suspendido desde el 4 de mayo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</si>
  <si>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MESETAS</t>
  </si>
  <si>
    <t xml:space="preserve">2026-08-20 - Continua en ejecución sin ningún inconveniente        
2026-07-30 - Continua en ejecución sin ningún inconveniente 
2026-06-30 - Sin Novedad 
2026-06-22 - Sin Novedad 
2026-06-16 - Sin Novedad 
2026-06-09 - Sin Novedad 
2026-06-01 - Sin Novedad 
2026-05-25 - En proceso de proyección de concepto de supervisión para solicitar adición                                                                                                                                                2026-05-19 - Jurídico: En proceso de consolidación de documentos para solicitar una adición
Técnico: Licencia expedida. En coordinación para inicio del proyecto
Presupuestal: En verificación de valor requerido para una adición a este proyecto                                                                                                                                                                2026-05-11 - Jurídico: En proceso de consolidación de documentos para solicitar una adición
Técnico: Licencia expedida. En coordinación para inicio del proyecto
Presupuestal: En verificación de valor requerido para una adición a este proyecto                                                                                                                                                            
2026-05-05 - Técnico: Licencia expedida. En coordinación para inicio del proyecto                                                                                                                                    
2026-04-27 - No Viable Presupuestal                                                                                                                                    
2026-04-20 - Sin Novedad
2026-04-13 - Sin Novedad                                                                                                                                      
2026-03-30 - Sin Novedad                                                                                                                                     
2026-03-24 - Sin Novedad                                                                                                                                    
2026-03-16 - Sin Novedad                                                                                                                                      
2026-03-10 - Sin Novedad                                                                                                                                    
2026-03-02 - Sin Novedad                                                                                                                                  
2026-02-23 - Sin Novedad                                                                                                                                                     </t>
  </si>
  <si>
    <t>PUERTO CONCORDIA</t>
  </si>
  <si>
    <t xml:space="preserve">2026-08-20 -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</si>
  <si>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RICAURTE</t>
  </si>
  <si>
    <t xml:space="preserve">2026-07-30 - Termino de Obra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</si>
  <si>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CALDONO</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</si>
  <si>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Suspendido                                                                                                                                                                                                                                                 2026-04-27 - En revisión de derivada la solicitud de prórroga al proyecto por término de 3 meses. 
2026-04-20 – Suspendido                                                                                                                                                                                                                                                   2026-04-13 - Suspendido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</si>
  <si>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MIRAFLORES</t>
  </si>
  <si>
    <t xml:space="preserve">2026-08-20 - Obra Suspendida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Empieza Obra                                                                                                                                                            
2026-05-25 - En trámite de licenciamiento.                                                                                                                              
2026-05-19 - En trámite de licenciamiento.                                                                                                                              
2026-05-11 - En trámite de licenciamiento.                                                                                                                              
2026-05-05 - En trámite de licenciamiento.                                                                                                                              
2026-04-20 - Sin Novedad
2026-04-27 - En trámite de licenciamiento. La Aeronáutica Civil emitió concepto favorable. Actualmente, el trámite se encuentra en el departamento jurídico de la Alcaldía, el cual es el encargado de solicitar la liquidación de la licencia. El contratista radicó la documentación el 24/03/2026, y estamos a la espera del avance correspondiente.                                                                                                                              
2026-04-20 - Sin Novedad
2026-04-13 - Sin Novedad                                                                                                                                      
2026-03-30 - Sin Novedad                                                                                                                                     
2026-03-24 - Sin Novedad                                                                                                                                    
2026-03-16 - Sin Novedad                                                                                                                                      
2026-03-10 - Sin Novedad                                                                                                                                    
2026-03-02 - Sin Novedad                                                                                                                                  
2026-02-23 - Sin Novedad                                                                                                                                                     </t>
  </si>
  <si>
    <t>MEDIO SAN JUAN</t>
  </si>
  <si>
    <t>333-DPS-2025</t>
  </si>
  <si>
    <t>TERMINACIÓN "CONSTRUCCION DE LA PLAZA DE MERCADO DEL MUNICIPIO DE CAPITANEJO -SANTANDER" DEL CONVENIO INICIAL # 391-FIP-2021, , ID PROYECTO # 11154.</t>
  </si>
  <si>
    <t>PUERTO RICO</t>
  </si>
  <si>
    <t xml:space="preserve">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</si>
  <si>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</si>
  <si>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SANTANDER DE QUILICHAO</t>
  </si>
  <si>
    <t>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Suspendido desde el 4 de mayo                                                                                                                                                           
2026-05-19 - Suspendido desde el 4 de mayo                                                                                                                                                           
2026-05-11 - Suspendido desde el 4 de mayo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Inició Obra 31 de enero 2026</t>
  </si>
  <si>
    <t>SANTA MARTA</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</si>
  <si>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</si>
  <si>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 xml:space="preserve">2026-04-13 - Obra terminada                                                                                                                                                                      2026-03-16 - Sin Novedad                                                                                                                                                                        
2026-03-24 - Sin Novedad 
2026-03-16 - Retoma Obra          
2026-03-10 - Obra Suspendida    
2026-03-02 - Obra Suspendida     
2026-02-23- Obra Suspendida                                                                                                                                                                                                                                                                                                                                                                                                                                                                     </t>
  </si>
  <si>
    <t>CANTAGALLO</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</si>
  <si>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Proyecto suspendido. En trámite solicitud de prórroga por el término de 5 meses.
2026-04-20 - Suspendido
2026-04-13 - Suspendido                                                                                                                                                                                          
2026-03-30 - Suspendido                                                                                                                                                                                          
2026-03-24 - Suspendido                                                                                                                                                                                          
2026-03-16 - Suspendido  - Previamente de la actividad de estudios y diseños se encontró que por el predio pasa un red de acueducto, alcantarillado y alumbrado público; la alcaldía se comprometió a contratar y ejecutar el retiro y traslado de estas redes, sin embargo no se ha logrado completar estas actividades, esto ha implicado un atraso en la excavaciones y la construcción de la cimentación como también el izaje posterior de la estructura metálica, estamos a la esperara que la alcaldía realice la ejecución.
2026-03-10 - Suspendido                                                                                                                                                          
2026-03-02 - Suspendido                                                                                                                                                          
2026-02-23 - Suspendido                                                                                                                                 </t>
  </si>
  <si>
    <t>CARMEN DEL DARIÉN</t>
  </si>
  <si>
    <t>No Viable - Presupuestal</t>
  </si>
  <si>
    <t xml:space="preserve">2026-04-27 - No viable presupuestal
2026-04-20 - En procedimiento de aplicación de apremio al contrato de obra.
2026-04-13 - Sin novedad                                                                                                                                    
2026-03-30 - Sin Novedad                                                                                                                                     
2026-03-24 - Sin Novedad                                                                                                                                    
2026-03-16 - Sin Novedad                                                                                                                                      
2026-03-10 - Sin Novedad                                                                                                                                    
2026-03-02 - Sin Novedad       
2026-02-23 - Sin Novedad                                                                                                                                                                                                                                                                                 </t>
  </si>
  <si>
    <t>TUNJA</t>
  </si>
  <si>
    <t xml:space="preserve">2026-08-20 - En trámite de licenciamiento.  (hay discrepancia secretaria planeación y curaduría (tema político))                                                                                                                                  
2026-07-30 - En trámite de licenciamiento.  (hay discrepancia secretaria planeación y curaduría (tema político))                                                                                                                                  
2026-06-30 - En trámite de licenciamiento.  (hay discrepancia secretaria planeación y curaduría (tema político))                                                                                                                                  
2026-06-22 - En trámite de licenciamiento.  (hay discrepancia secretaria planeación y curaduría (tema político))                                                                                                                                  
2026-06-16 - En trámite de licenciamiento.  (hay discrepancia secretaria planeación y curaduría (tema político))                                                                                                                                  
2026-06-09 - En trámite de licenciamiento.                                                                                                                                    
2026-06-01 - En trámite de licenciamiento.                                                                                                                                    
2026-05-25 - En trámite de licenciamiento.                                                                                                                                    
2026-05-19 - En trámite de licenciamiento.                                                                                                                                    
2026-05-11 - En trámite de licenciamiento.                                                                                                                                    
2026-05-05 - En trámite de licenciamiento.                                                                                                                                    
2026-04-27 - En trámite de licenciamiento. Se adelantó la radicación en debida forma, teniendo en cuenta el concepto técnico sobre la clasificación del uso principal del PAS y el concepto emitido por el municipio. Asimismo, se efectuó el pago correspondiente a los derechos de revisión de la Curaduría. Actualmente, estamos a la espera de que no se generen observaciones adicionales y de la expedición definitiva de la licencia.                                                                                                                                    
2026-04-20 - Sin Novedad
2026-04-13 - Sin Novedad                                                                                                                                      
2026-03-30 - Sin Novedad                                                                                                                                     
2026-03-24 - Sin Novedad                                                                                                                                    
2026-03-16 - Sin Novedad                                                                                                                                      
2026-03-10 - Sin Novedad                                                                                                                                    
2026-03-02 - Sin Novedad                                                                                                                                  
2026-02-23 - Sin Novedad                                                                                                                                                     </t>
  </si>
  <si>
    <t xml:space="preserve">2026-08-30 - Por Iniciar Estudios Y Diseños                                                                                      2026-06-01 - No Viable Social, Juridica y Tecnica: Se presento 2 predios. El primer predio No Viable Social, Segundo predio No Viable Tecnico y Juridico
2026-05-25 - Se sostuvo una reunion con con el gerente de plazas publicas - falta certificado de la curaduria                                                                                                                                                            
2026-05-19 - Por iniciar actividad 1: Estudios y Diseños                                                                                                                                                                                                                                                    2026-05-11 - Sin Novedad
2026-05-05 - Sin Novedad
2026-04-27 – Suspendido - Social: Oposición de la comunidad, sin dar acceso al contratista al lote propuesto por municipio.
Alcaldía de Pasto postuló un nuevo predio del cual se está verificando viabilidad técnica y jurídica
2026-04-20 - Suspendido - Social: Oposición de la comunidad, sin dar acceso al contratista al lote propuesto por municipio.
Alcaldía de Pasto postuló un nuevo predio el cual será objeto de verificación y viabilidad técnica y jurídica.
2026-04-13 - Continua en ejecución sin ningún inconveniente                                                                                                                                        
2026-03-30 - Continua en ejecución sin ningún inconveniente                                                                                                                                       
2026-03-24 - Continua en ejecución sin ningún inconveniente                                                                                                                                   
2026-03-16 - Continua en ejecución sin ningún inconveniente                                                                                                                                       
2026-03-10 - Comienza obra en marzo                                                                                                                                     
2026-03-02 - Sin Novedad                                                                                                                                  
2026-02-23 - Sin Novedad                                                                                                                                                      
</t>
  </si>
  <si>
    <t>335-DPS-2025</t>
  </si>
  <si>
    <t>TERMINACIÓN "CONSTRUCCIÓN PLAZA DE MERCADO MUNICIPIO DE CARTAGO - VALLE DEL CAUCA" DEL CONVENIO INICIAL # 407-FIP-2021, ID PROYECTO # 12178</t>
  </si>
  <si>
    <t>2026-03-09. Proyecto se encuentra en etapa de diagnóstico por parte de E.T. con el objetivo de conocer el estado actual de la obra.
2025-02-16. Se plantea la realización de visita técnica para diagnóstico y pertinencia.</t>
  </si>
  <si>
    <t>TAME</t>
  </si>
  <si>
    <t xml:space="preserve">2026-08-20 - Obra Suspendida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</si>
  <si>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LEIVA</t>
  </si>
  <si>
    <t xml:space="preserve">2026-08-20 - Sin Novedad                                                                                                                                                            
2026-07-30 - Sin Novedad                                                                                                                                                            
2026-06-30 - Sin Novedad                                                                                                                                                            
2026-06-22 - Sin Novedad                                                                                                                                                            
2026-06-16 - Sin Novedad                                                                                                                                                            
2026-06-09 - Sin Novedad                                                                                                                                                            
2026-06-01 - Sin Novedad                                                                                                                                                            
2026-05-25 - Sin Novedad
2026-05-19 - Sin Novedad
2026-05-11 - Sin Novedad
2026-05-05 - Sin Novedad
2026-04-27 -  En definición de cierre presupuestal para verificación viabilidad de inicio de proyecto                                                                                                                                 
2026-04-20 - Sin Novedad
2026-04-13 - Sin Novedad                                                                                                                                      
2026-03-30 - Sin Novedad                                                                                                                                     
2026-03-24 - Sin Novedad                                                                                                                                    
2026-03-16 - Sin Novedad                                                                                                                                      
2026-03-10 - Sin Novedad                                                                                                                                    
2026-03-02 - Sin Novedad                                                                                                                                  
2026-02-23 - Sin Novedad                                                                                                                                                     </t>
  </si>
  <si>
    <t>Jambaló</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</si>
  <si>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Suspendido desde el 4 de mayo                                                                                                                                                            
2026-05-19 - Suspendido desde el 4 de mayo                                                                                                                                                            
2026-05-11 -Suspendido desde el 4 de mayo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</si>
  <si>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EL GUAMO</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</si>
  <si>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</si>
  <si>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PALMITO</t>
  </si>
  <si>
    <t xml:space="preserve">2026-08-20 - Continua en ejecución sin ningún inconveniente                                                                                                                                                            
2026-07-30 -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Jurídico: Se solicitó el inicio del proceso de apremio debido a los atrasos evidenciados en la ejecución del contrato, requerimiento que fue remitido al área jurídica el pasado 10 de abril, donde actualmente se encuentra en revisión para el trámite correspondiente.
Técnico: Se recibio solicitud de prorroga por 30 días, se encuentra en revisión para aprobación.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</si>
  <si>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MAGÜÍ</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</si>
  <si>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Empieza Obra                                                                                                                                                            
2026-05-25 - Sin Novedad 
2026-05-19 - Sin Novedad
2026-05-11 - Sin Novedad
2026-05-05 - Sin Novedad
2026-04-27 - En cierre presupuestal para definir inicio de Act 2 obra.                                                                                                                                  
2026-04-20 - Sin Novedad
2026-04-13 - Sin Novedad                                                                                                                                      
2026-03-30 - Sin Novedad                                                                                                                                     
2026-03-24 - Sin Novedad                                                                                                                                    
2026-03-16 - Sin Novedad                                                                                                                                      
2026-03-10 - Sin Novedad                                                                                                                                    
2026-03-02 - Sin Novedad                                                                                                                                  
2026-02-23 - Sin Novedad                                                                                                                                                     </t>
  </si>
  <si>
    <t>CHIGORODÓ</t>
  </si>
  <si>
    <t>No Viable -inicio a un proyecto hidráulico para evacuar aguas lluvias y se vayan directamente al río.
El predio propuesto se considera no viable porque se encuentra en una zona inundable con niveles entre 0,8 y 1 metro. El municipio no dispone de otro terreno ni de recursos para ejecutar las obras de drenaje necesarias para mitigar esta problemática histórica en el sector.</t>
  </si>
  <si>
    <t>FONSECA</t>
  </si>
  <si>
    <t>MEDIO ATRATO</t>
  </si>
  <si>
    <t xml:space="preserve">2026-08-20 -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Obra Iniciada el 27 de abril                                                                                                                                                                                                                2026-04-27 - Programado inicio de actividad II para el 27 de abril                                                                                                                                                                    2026-04-20 - En procedimiento de aplicación de apremio al contrato de obra.
2026-04-13 - Sin Novedad                                                                                                                                       
2026-03-30 - Sin Novedad                                                                                                                                     
2026-03-24 - Sin Novedad                                                                                                                                    
2026-03-16 - Sin Novedad                                                                                                                                      
2026-03-10 - Sin Novedad                                                                                                                                    
2026-03-02 - Sin Novedad                                                                                                                                  
2026-02-23 - Sin Novedad                                                                                                                                                      </t>
  </si>
  <si>
    <t>TORIBÍO</t>
  </si>
  <si>
    <t>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Suspendido desde el 4 de mayo                                                                                                                                                           
2026-05-19 - Suspendido desde el 4 de mayo                                                                                                                                                           
2026-05-11 - Suspendido desde el 4 de mayo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Inició Obra 28 de enero 2026</t>
  </si>
  <si>
    <t>DABEIBA</t>
  </si>
  <si>
    <t>Cierre de Actividad 1 Estudios y Diseños</t>
  </si>
  <si>
    <t xml:space="preserve">2026-08-20 - Cierre de Estudios y Diseños
2026-07-30 - Ejecucion Actividad 1 Estudios y Diseños
2026-06-30 - Ejecucion Actividad 1 Estudios y Diseños
2026-06-22 - Ejecucion Actividad 1 Estudios y Diseños
2026-06-16 - Ejecucion Actividad 1 Estudios y Diseños
2026-06-09 - Ejecucion Actividad 1 Estudios y Diseños
2026-06-01 - Inicia Actividad 1
2026-05-25 - Sin Novedad                                                                                                                                    
2026-05-19 - Sin Novedad                                                                                                                                    
2026-05-11 - Verificando documentos, para viabilidad juridica.                                                                                                                                     
2026-05-05 - Verificando documentos, para viabilidad juridica.                                                                                                                                     
2026-04-27 - Verificando documentos, para viabilidad juridica.                                                                                                                                     
2026-04-20 - Sin Novedad
2026-04-13 - Sin Novedad                                                                                                                                      
2026-03-30 - Sin Novedad                                                                                                                                     
2026-03-24 - Sin Novedad                                                                                                                                    
2026-03-16 - Sin Novedad                                                                                                                                      
2026-03-10 - Sin Novedad                                                                                                                                    
2026-03-02 - Sin Novedad                                                                                                                                  
2026-02-23 - Sin Novedad                                                                                                                                                      </t>
  </si>
  <si>
    <t>VALLEDUPAR</t>
  </si>
  <si>
    <t xml:space="preserve">2026-08-20 - Continua en ejecución sin ningún inconveniente                                                                                                                                                            
2026-07-30 - Continua en ejecución sin ningún inconveniente                                                                                                                                                            
2026-06-30 - Sin Novedad                                                                                                                                                            
2026-06-22 - Sin Novedad                                                                                                                                                            
2026-06-16 - Sin Novedad                                                                                                                                                            
2026-06-09 - Sin Novedad                                                                                                                                                            
2026-06-01 - Sin Novedad                                                                                                                                                            
2026-05-25 - Sin Novedad
2026-05-19 - Sin Novedad
2026-05-11 - Sin Novedad
2026-05-05 - Sin Novedad
2026-04-27 - Proyecto licenciado. El contratista presentó solicitud de adición de recursos, dado que, conforme al análisis financiero y al balance contractual, los recursos resultan insuficientes para la ejecución. Actualmente, nos encontramos revisando dicha solicitud y el concepto de la interventoría para proceder con la adición correspondiente.                                                                                                                                
2026-04-20 - Sin Novedad
2026-04-13 - Sin Novedad                                                                                                                                      
2026-03-30 - Sin Novedad                                                                                                                                     
2026-03-24 - Sin Novedad                                                                                                                                    
2026-03-16 - Sin Novedad                                                                                                                                      
2026-03-10 - Sin Novedad                                                                                                                                    
2026-03-02 - Sin Novedad                                                                                                                                  
2026-02-23 - Sin Novedad                                                                                                                                                     </t>
  </si>
  <si>
    <t>ISTMINA</t>
  </si>
  <si>
    <t>343-DPS-2025</t>
  </si>
  <si>
    <t>TERMINACIÓN "CONSTRUCCIÓN PLAZA DE MERCADO DEL MUNICIPIO DE CHISCAS - BOYACÁ" DEL CONVENIO INICIAL # 581-FIP-2021, ID PROYECTO # 11852</t>
  </si>
  <si>
    <t>2026-05-19. Se encuentrna pendiente remitir documentación para iniciar proceso de liquidación.
2026-04-28. Resultado de las mesas técnico-Jurídica se determinó ruta de Subsanación de condiciones para liquidación del convenio interadministrativo.
2026-03-09. Proyecto se encuentra en etapa de diagnóstico por parte de E.T. con el objetivo de conocer el estado actual de la obra.
2025-02-16. Se plantea la realización de visita técnica para diagnóstico y pertinencia.</t>
  </si>
  <si>
    <t>PATÍA</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</si>
  <si>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Empieza ejecucion sin ningun incoveniente                                                                                                                                                           
2026-05-19 - Suspendido desde el 4 de mayo                                                                                                                                                           
2026-05-11 - Suspendido desde el 4 de mayo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</si>
  <si>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MERCADERES</t>
  </si>
  <si>
    <t xml:space="preserve">2026-08-20 - Obra Suspendida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Suspendido desde el 4 de mayo                                                                                                                                                            
2026-05-19 - Suspendido desde el 4 de mayo                                                                                                                                                            
2026-05-11 -Suspendido desde el 4 de mayo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</si>
  <si>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LOS ANDES</t>
  </si>
  <si>
    <t xml:space="preserve">2026-08-20 - Continua en ejecución sin ningún inconveniente                                                                                                                                                            
2026-06-30 - Continua en ejecución sin ningún inconveniente                                                                                                                                                            
2026-06-30 - Inicia Obra
2026-06-22 - Sin Novedad 
2026-06-16 - Sin Novedad 
2026-06-09 - Sin Novedad 
2026-06-01 - Sin Novedad 
2026-05-25 - Sin Novedad 
2026-05-19 - Sin Novedad 
2026-05-11 - Sin Novedad 
2026-05-05 - Sin Novedad 
2026-04-27 - Sin Novedad 
2026-04-20 - Sin Novedad
2026-04-13 - Sin Novedad 
2026-03-30 - Sin Novedad 
2026-03-24 - Sin Novedad 
2026-03-16 - Sin Novedad 
2026-03-10 - Sin Novedad 
2026-03-02 - Sin Novedad 
2026-02-23 - Sin Novedad                                                                                                                                    </t>
  </si>
  <si>
    <t>CIÉNAGA</t>
  </si>
  <si>
    <t>El predio se considera inviable dado que cuenta con construcciones existentes y una zona de invasión ocupada por varias familias. Si bien el municipio se comprometió a remitir información actualizada relacionada con las cartas de compromiso para el traslado o reubicación de dichas familias, a la fecha no ha dado cumplimiento a este requerimiento, pese a las reiteradas solicitudes realizadas por Findeter</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</si>
  <si>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</si>
  <si>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CIÉNAGA DE ORO</t>
  </si>
  <si>
    <t>CONDOTO</t>
  </si>
  <si>
    <t>TIBÚ</t>
  </si>
  <si>
    <t>Actividad 1: Estudios y Diseños</t>
  </si>
  <si>
    <t xml:space="preserve">2026-08-20 - Inicio Act 1 Estudios y Diseños 
2026-07-30 - Inicio Act 1 Estudios y Diseños 
2026-06-22 - Sin Novedad 
2026-06-16 - Sin Novedad 
2026-06-09 - Sin Novedad 
2026-06-01 - Sin Novedad 
2026-05-25 -Sin Novedad                                                                                                                                                            
2026-05-19 - Jurídico: Pendiente viabilidad por parte de la Aerocivil.    
Técnico: Proximidad del  predio al aeropuerto.
2026-05-11 - Jurídico: Pendiente viabilidad por parte de la Aerocivil.    
Técnico: Proximidad del  predio al aeropuerto.
2026-05-05 - Sin Novedad
2026-04-27 - Jurídico: Pendiente Actualización del Certificado de libertad y tradición, con el ajuste y ampliación del area del lote.
Técnico: Proximidad del predio a una vía de 2 orden que requiere franjas de distanciamiento.                                                                                                                             
2026-04-20 - Sin Novedad
2026-04-13 - Sin Novedad                                                                                                                                      
2026-03-30 - Sin Novedad                                                                                                                                     
2026-03-24 - Sin Novedad                                                                                                                                    
2026-03-16 - Sin Novedad                                                                                                                                      
2026-03-10 - Sin Novedad                                                                                                                                    
2026-03-02 - Sin Novedad                                                                                                                                  
2026-02-23 - Sin Novedad                                                                                                                                                     </t>
  </si>
  <si>
    <t>CHAPARRAL</t>
  </si>
  <si>
    <t>MONTELÍBANO</t>
  </si>
  <si>
    <t xml:space="preserve">2026-08-20 - Obra Entregada                                                                                                                                                                                                                                                                                                2026-03-16 - Sin Novedad                                                                                                                                                                        
2026-04-13 - Obra terminada                                                                                                                                                                                                                                                                                            2026-03-16 - Sin Novedad                                                                                                                                                                        
2026-03-24 - Sin Novedad 
2026-03-16 - Retoma Obra          
2026-03-10 - Obra Suspendida    
2026-03-02 - Obra Suspendida     
2026-02-23- Obra Suspendida                                                                                                                                                                                                                                                                                                                                                                                                                                                                     </t>
  </si>
  <si>
    <t>BARRANQUILLA</t>
  </si>
  <si>
    <t>336-DPS-2025</t>
  </si>
  <si>
    <t>TERMINACIÓN "MEJORAMIENTO Y ADECUACIÓN DE LA PLAZA DE MERCADO DEL MUNICIPIO DE CORINTO - CAUCA" DEL CONVENIO INICIAL # 380-FIP-2021, ID PROYECTO # 12255</t>
  </si>
  <si>
    <t>MOSQUERA</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</si>
  <si>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Inicia Obra
2026-05-11 - Sin Novedad
2026-05-05 - Sin Novedad
2026-04-27 - En cierre presupuestal para definir inicio de Act 2 obra.                                                                                                                                  
2026-04-20 - Sin Novedad
2026-04-13 - Sin Novedad                                                                                                                                      
2026-03-30 - Sin Novedad                                                                                                                                     
2026-03-24 - Sin Novedad                                                                                                                                    
2026-03-16 - Sin Novedad                                                                                                                                      
2026-03-10 - Sin Novedad                                                                                                                                    
2026-03-02 - Sin Novedad                                                                                                                                  
2026-02-23 - Sin Novedad                                                                                                                                                     </t>
  </si>
  <si>
    <t>2026-02-16 - Incumplimiento de compromisos, demilición de cubierta y adecuación.</t>
  </si>
  <si>
    <t>JONATAN ISAZA HERNANDEZ</t>
  </si>
  <si>
    <t>345-DPS-2025</t>
  </si>
  <si>
    <t>COYAIMA</t>
  </si>
  <si>
    <t>TERMINACIÓN "CONSTRUCCIÓN Y DOTACIÓN DE UNA PLAZA DE MERCADO EN EL CASCO URBANO DEL MUNICIPIO DE COYAIMA - TOLIMA" DEL CONVENIO INICIAL # 454-FIP-2021, ID PROYECTO # 11129</t>
  </si>
  <si>
    <t>2026-05-19. Pendientes alguinos documentos para ruta de liquidación.
2026-04-28. Como resultado de las mesas técnico-jurídicas, se definió como ruta de acción la liquidación bilateral inmediata del convenio interadministrativo.
2026-04-14. Se adelantó reunión con la Alcaldía y Prosperidad Social, acordándose arreglo directo y liquidación bilateral. Se proyectó memorando a contractual y se encuentra en recopilación de soportes para formalizar el trámite. 
2026-03-09. Proyecto se encuentra en etapa de diagnóstico por parte de E.T. con el objetivo de conocer el estado actual de la obra.
2025-02-16. Se plantea la realización de visita técnica para diagnóstico y pertinencia.</t>
  </si>
  <si>
    <t>SAN PABLO</t>
  </si>
  <si>
    <t xml:space="preserve">2026-05-19 - Obra terminada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</si>
  <si>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FRANCISCO PIZARRO</t>
  </si>
  <si>
    <t xml:space="preserve">2026-08-20 - Continua en ejecución sin ningún inconveniente                                                                                                                                                            
2026-07-30 - Continua en ejecución sin ningún inconveniente                                                                                                                                                            
2026-06-30 - Continua en ejecución sin ningún inconveniente                                                                                                                                                            
2026-06-22 - Continua en ejecución sin ningún inconveniente                                                                                                                                                            
2026-06-16 - Empieza Obra - Luego de revisar presupuesto se opta por continuar obra                                                                                                                                                           
2026-04-27 - En cierre de productos actividad 1. No viable presupuestal.                                                                                                                                   
2026-04-20 - Sin Novedad
2026-04-13 - Sin Novedad                                                                                                                                      
2026-03-30 - Sin Novedad                                                                                                                                     
2026-03-24 - Sin Novedad                                                                                                                                    
2026-03-16 - Sin Novedad                                                                                                                                      
2026-03-10 - Sin Novedad                                                                                                                                    
2026-03-02 - Sin Novedad                                                                                                                                  
2026-02-23 - Sin Novedad                                                                                                                                                     </t>
  </si>
  <si>
    <t>LA MONTAÑITA</t>
  </si>
  <si>
    <t>ITUANGO</t>
  </si>
  <si>
    <t xml:space="preserve">2026-08-20 - Obra Terminada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estado suspendido                                                                                                                                                        
2026-05-19 - Continua en estado suspendido                                                                                                                                                        
2026-05-11 - Continua en estado suspendido                                                                                                                                                        
2026-05-05 - Proyecto suspendido desde el 20/04/2026 por un mes                                                                                                                                                                                                                                                                                                                                                                               2026-04-27 - Proyecto suspendido desde el 20/04/2026 por un mes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</si>
  <si>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SAN PEDRO DE URABÁ</t>
  </si>
  <si>
    <t xml:space="preserve">2026-07-30 - Obra Terminada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estado suspendido                                                                                                                                                        
2026-05-19 - Continua en estado suspendido                                                                                                                                                        
2026-05-11 - Continua en estado suspendido                                                                                                                                                        
2026-05-05 - Proyecto suspendido desde el 20/04/2026 por un mes
2026-04-27 - Proyecto suspendido desde el 20/04/2026 por un mes
2026-04-20 - Continua en ejecución sin ningún inconveniente
2026-04-13 - Continua en ejecución sin ningún inconveniente                                                                                                                                                   
2026-03-30 - Continua en ejecución sin ningún inconveniente                                                                                                                                                                                                                                                                                               2026-03-24 - Suspendido                                                                                                                                                                                                                                                                                    2026-03-16 - Suspendido                                                                                                                                                                                                        
2026-03-10 - Suspendido                                                                                                                             
2026-03-02 - Continua en ejecución sin ningún inconveniente                                                           
2026-02-23 - Continua en ejecución sin ningún inconveniente                                                                                           </t>
  </si>
  <si>
    <t>334-DPS-2025</t>
  </si>
  <si>
    <t>TERMINACIÓN "DISEÑO Y REMODELACIÓN DEL ESPACIO PÚBLICO E INTERIORES DE LA PLAZA DE MERCADO DEL MUNICIPIO DE DAGUA - VALLE DEL CAUCA" DEL CONVENIO INICIAL # 599-FIP-2021, ID PROYECTO # 11101</t>
  </si>
  <si>
    <t>2026-05-12. Pendiente acta de liquidación del contrato derivado, hay unas actividades que interventoría no reconocerá al contratista, pendiente reintegro de recursos.
2026-04-28. Se adelantará mesa de trabajo para el día de hoy con el objetivo de establecer ruta de liquidación.
2026-03-09. Proyecto se encuentra en etapa de diagnóstico por parte de E.T. con el objetivo de conocer el estado actual de la obra.
2025-02-16. Se plantea la realización de visita técnica para diagnóstico y pertinencia.</t>
  </si>
  <si>
    <t>POPAYÁN</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</si>
  <si>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Suspendido desde el 4 de mayo                                                                                                                                                           
2026-05-19 - Suspendido desde el 4 de mayo                                                                                                                                                           
2026-05-11 - Suspendido desde el 4 de mayo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Inició Obra 22 de enero 2026                                                                                                </t>
  </si>
  <si>
    <t>LOS PALMITOS</t>
  </si>
  <si>
    <t xml:space="preserve">2026-08-20 - Continua en ejecución sin ningún inconveniente                                                                                                                                                            
2026-07-30 -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Jurídico: Se solicitó el inicio del proceso de apremio debido a los atrasos evidenciados en la ejecución del contrato, requerimiento que fue remitido al área jurídica el pasado 10 de abril, donde actualmente se encuentra en revisión para el trámite correspondiente.
Técnico: Se recibio solicitud de prorroga por 41 días, se encuentra en revisión para aprobación.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</si>
  <si>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DIBULLA</t>
  </si>
  <si>
    <t xml:space="preserve">2026-03-10 - No viable por presupuesto - Proyecto no viable, toda vez que, conforme al análisis financiero adelantado, no se cuenta con disponibilidad de recursos suficientes para garantizar su ejecución. En este sentido, FINDETER recomendó al municipio no proceder con la demolición de la infraestructura existente, dado que dicha actividad no puede asociarse al inicio del proyecto. Proyecto no viable, toda vez que, conforme al análisis financiero adelantado, no se cuenta con disponibilidad de recursos suficientes para garantizar su ejecución. En este sentido, FINDETER recomendó al municipio no proceder con la demolición de la infraestructura existente, dado que dicha actividad no puede asociarse al inicio del proyecto.
2026-03-02 - Sin Novedad                                                                                                                                                 
2026-02-23 - Sin Novedad                                                                                                                                                      </t>
  </si>
  <si>
    <t>VICHADA</t>
  </si>
  <si>
    <t>PUERTO CARREÑO</t>
  </si>
  <si>
    <t xml:space="preserve">2026-08-20 - Continua Suspendido                                                                                                                                                           
2026-07-30 - Suspendido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</si>
  <si>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GR VICHADA</t>
  </si>
  <si>
    <t>IBAGUÉ</t>
  </si>
  <si>
    <t xml:space="preserve">2026-08-20- Sin Novedad
2026-07-30- Sin Novedad
2026-06-30- Sin Novedad
2026-06-22 - Sin Novedad
2026-06-16 - Sin Novedad
2026-06-09 - Sin Novedad
2026-06-01 - Sin Novedad
2026-05-25 - Sin Novedad
2026-05-19 - Sin Novedad
2026-05-11 - Sin Novedad
2026-05-05 - Sin Novedad
2026-04-27 - En proceso de Expedición de licencias. Subsanación de observaciones radicadas el 1/04/2026. El contratista informó que la Curaduría dará respuesta a la solicitud el 15/04/2026.                                                                                                                                    
2026-04-20 - Sin Novedad
2026-04-13 - Sin Novedad                                                                                                                                      
2026-03-30 - Sin Novedad                                                                                                                                     
2026-03-24 - Sin Novedad                                                                                                                                    
2026-03-16 - Sin Novedad                                                                                                                                      
2026-03-10 - Sin Novedad                                                                                                                                    
2026-03-02 - Sin Novedad                                                                                                                                  
2026-02-23 - Sin Novedad                                                                                                                                                     </t>
  </si>
  <si>
    <t>EL LITORAL DEL SAN JUAN</t>
  </si>
  <si>
    <t>GR CHOCHÓ</t>
  </si>
  <si>
    <t>BAGADÓ</t>
  </si>
  <si>
    <t>BAJO BAUDÓ</t>
  </si>
  <si>
    <t>CURILLO</t>
  </si>
  <si>
    <t>EL TAMBO</t>
  </si>
  <si>
    <t>2026-02-16 - Incumplimiento de compromisos, demilición de caseta y trabajo social.</t>
  </si>
  <si>
    <t>EL TARRA</t>
  </si>
  <si>
    <t>No Viable luego de la ejecución de la Actividad 1 Estudios y Diseños.                                                                                                    Proyecto no viable por oposición social a la ejecución en el predio postulado por el municipio. De igual forma por aspectos de orden público que impidieron el ingreso a contratistas derivados.</t>
  </si>
  <si>
    <t>319-FIP-2021</t>
  </si>
  <si>
    <t>FLANDES</t>
  </si>
  <si>
    <t>Construcción Y Embellecimiento De La Plaza De Mercado Central En El Municipio De Flandes - Tolima</t>
  </si>
  <si>
    <t>2026-05-11. Se realizó la Auditoría Visible No. 3 el 28 de abril de 2026, en el marco de la cual se suscribió el Acta de Entrega y Compromiso de Sostenibilidad del proyecto.
2026-03-09. Convenio con fecha de terminación el 15 de marzo de 2026. Supervisión manifiesta que no será necesaria la suspensión o prórroga de dicho convenio, en el entendido que ya se encuentran realizadas las obras que estaban faltando para la terminación, referente a la conexión de la red de gas.
2026-02-16. Hubo reunión con E.T. y la interventoría el día 1** de febrero, se llegó al compromiso de realizar la conexión a la red de gas para el 25-02-2026 como fecha límite, para dicha fecha se debe contar con el acta de recibo a satisfacción y el plan de sostenibilidad.
2026-02-09. No se ha realizado, se está esperando que realicen el recibo a satisfacción. Supervisión indica que no cuenta con apoyo para revisión del plan de sostenibilidad. "También está pendiente que realicen el pago del 90% del convenio. He visto que están poniendo de excusa ese tema, que por esa razón no tienen recursos para terminar los trámites para hacer la conexión de gas."</t>
  </si>
  <si>
    <t>AMAZONAS</t>
  </si>
  <si>
    <t>LETICIA</t>
  </si>
  <si>
    <t>2026-08-20 - Continua en ejecución sin ningún inconveniente                                                                                                                                                            
2026-07-30 -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Inicio Obra en febrero</t>
  </si>
  <si>
    <t>GR AMAZONAS</t>
  </si>
  <si>
    <t>SAN ONOFRE</t>
  </si>
  <si>
    <t xml:space="preserve">2026-08-20 - Continua en ejecución sin ningún inconveniente                                                                                                                                                            
2026-07-30 -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Jurídico: Se solicitó el inicio del proceso de apremio debido a los atrasos evidenciados en la ejecución del contrato, requerimiento que fue remitido al área jurídica el pasado 10 de abril, donde actualmente se encuentra en revisión para el trámite correspondiente.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</si>
  <si>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LA JAGUA DE IBIRICO</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</si>
  <si>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Inicio Obra                                                                                                                                     
2026-03-30 - Sin Novedad                                                                                                                                     
2026-03-24 - Sin Novedad                                                                                                                                    
2026-03-16 - Sin Novedad                                                                                                                                      
2026-03-10 - Sin Novedad                                                                                                                                    
2026-03-02 - Sin Novedad                                                                                                                                  
2026-02-23 - Sin Novedad                                                                                                                                                      </t>
  </si>
  <si>
    <t>EL BAGRE</t>
  </si>
  <si>
    <t xml:space="preserve">2026-07-30 - Obra Terminada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estado suspendido                                                                                                                                                        
2026-05-19 - Continua en estado suspendido                                                                                                                                                        
2026-05-11 - Continua en estado suspendido                                                                                                                                                        
2026-05-05 - Proyecto suspendido desde el 20/04/2026 por un mes                                                                                                                                                                2026-04-27 - Proyecto suspendido desde el 20/04/2026 por un mes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</si>
  <si>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FLORENCIA</t>
  </si>
  <si>
    <t>CASANARE</t>
  </si>
  <si>
    <t>YOPAL</t>
  </si>
  <si>
    <t xml:space="preserve">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2026-06-16 - Inicia Obra                                                                                                                                   
2026-06-09 - En trámite de licenciamiento.                                                                                                                                    
2026-06-01 - En trámite de licenciamiento.                                                                                                                                    
2026-05-25 - En trámite de licenciamiento.                                                                                                                                    
2026-05-19 - En trámite de licenciamiento                                                                                                                                                            
2026-05-11 - En trámite de licenciamiento                                                                                                                                                            
2026-05-05 - En trámite de licenciamiento. La Curaduría emitió una nueva observación relacionada con los linderos del predio. La corrección al plano arquitectónico fue remitida al arquitecto de la Curaduría el 25/03/2026, y actualmente estamos a la espera de respuesta.                                                                                                                  
2026-04-27 - Sin Novedad                                                                                                                  
2026-04-20 - Sin Novedad                                                                                                                  
2026-04-13 - Sin Novedad                                                                                                                                                                                                                                                                                                 
2026-03-30 - Sin Novedad  
2026-03-24 - En espera de la obtención de la licencia, la curaduría 2 de Yopal, requirió el certificado de delineación urbana, que ya se requirió al municipio, y el contratista está subsanando una observación que llegó respecto a los coeficientes de los parqueaderos se estima la radicación el 27 de marzo 2026                                                                                                                                                                                                                                                                                      
2026-03-16 - Sin Novedad                                                                                                                                                                                                                                                                         
2026-03-10 - Sin Novedad                                                                                                                                    
2026-03-02 - Sin Novedad                                                                                                                                  
2026-02-23 - Sin Novedad                                                                                                                                                      
                                                                                                               </t>
  </si>
  <si>
    <t>GR CASANARE</t>
  </si>
  <si>
    <t>CARTAGENA DE INDIAS</t>
  </si>
  <si>
    <t xml:space="preserve">Ejecucion Act- 2 Obra  </t>
  </si>
  <si>
    <t xml:space="preserve">2026-08-20 - Continua en ejecución sin ningún inconveniente
2026-07-30 - Continua en ejecución sin ningún inconveniente
2026-06-30 - Sin Novedad
2026-06-22 - Sin Novedad
2026-06-16 - Sin Novedad
2026-06-09 - Sin Novedad
2026-06-01 - Sin Novedad
2026-05-25 - Sin Novedad
2026-05-19 -A la espera de respuesta por parte de la curaduria a la respuesta radicada el 24 de abril.  El  30 de abril se acercó funcionaria de la alcadía con el fin de apoyar el tramite ante el area jurídica de la Curaduria.,                                                                                                                                                                                                                                                                                                       2026-05-11 -A la espera de respuesta por parte de la curaduria a la respuesta radicada el 24 de abril.  El  30 de abril se acercó funcionaria de la alcadía con el fin de apoyar el tramite ante el area jurídica de la Curaduria.,                                                                                                                                                                        2026-05-05 - El 24 de abril se radicó el recurso de reposicion a la respuesta enviada por la curaduria  en relacion con la licencia de construcción.,                                                                                                                             
2026-04-27 - En trámite y gestión licenciamiento del proyecto por parte de curaduría. Contratista e interventoría han atendido las nuevas observaciones emitidas por curaduría urbana.                                                                                                                             
2026-04-20 - Sin Novedad
2026-04-13 - Sin Novedad                                                                                                                                      
2026-03-30 - Sin Novedad                                                                                                                                     
2026-03-24 - Sin Novedad                                                                                                                                    
2026-03-16 - Sin Novedad                                                                                                                                      
2026-03-10 - Sin Novedad                                                                                                                                    
2026-03-02 - Sin Novedad                                                                                                                                  
2026-02-23 - Sin Novedad                                                                                                                                                     </t>
  </si>
  <si>
    <t>PUERTO ASÍS</t>
  </si>
  <si>
    <t xml:space="preserve">2026-08-20 - Obra Suspendida                                                                                                                                                            
2026-07-30 -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</si>
  <si>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GALERAS</t>
  </si>
  <si>
    <t>GARZÓN</t>
  </si>
  <si>
    <t>NEIVA</t>
  </si>
  <si>
    <t xml:space="preserve">2026-08-20 - Continua en ejecución sin ningún inconveniente                                                                                                                                                                                                                     2026-07-30 - Inicia Obra
2026-06-30 - Cierre de estudios y diseños
2026-06-22 - Cierre de estudios y diseños
2026-06-16 - Inicia Act 1 Estudios y Diseños
2026-06-09 - Sin Novedad
2026-06-01 - Sin Novedad
2026-05-25 - Sin Novedad
2026-05-19 - Sin Novedad
2026-05-11 - Sin Novedad
2026-05-05 - Sin Novedad
2026-04-27 - Jurídico: El proceso de licenciamiento radicadas observaciones el 09/04/2026
Técnico: Arboles y poste electrico en el predio.                                                                                                                                    
2026-04-20 - Sin Novedad
2026-04-13 - Sin Novedad                                                                                                                                      
2026-03-30 - Sin Novedad                                                                                                                                     
2026-03-24 - Sin Novedad                                                                                                                                    
2026-03-16 - Sin Novedad                                                                                                                                      
2026-03-10 - Sin Novedad                                                                                                                                    
2026-03-02 - Sin Novedad                                                                                                                                  
2026-02-23 - Sin Novedad                                                                                                                                                     </t>
  </si>
  <si>
    <t xml:space="preserve">2026-08-20 -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Suspendido                                                                                                                                                                                                                                                                                             2026-04-27 - En revisión de derivada la solicitud de prórroga al proyecto por término de 3 meses.
2026-04-20 - Suspendido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</si>
  <si>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MORROA</t>
  </si>
  <si>
    <t xml:space="preserve">2026-08-20 - Continua en ejecución sin ningún inconveniente                                                                                                                                                            
2026-07-30 -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2026-05-25 -Jurídico: Se solicitó el inicio del proceso de apremio debido a los atrasos evidenciados en la ejecución del contrato, requerimiento que fue remitido al área jurídica el pasado 10 de abril, donde actualmente se encuentra en revisión para el trámite correspondiente.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</si>
  <si>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PUERTO GUZMÁN</t>
  </si>
  <si>
    <t>SAN JOSÉ DE CÚCUTA</t>
  </si>
  <si>
    <t xml:space="preserve">2026-07-30 - Obra Terminada.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2026-05-19 -Suspendido                                                                                                                                                            
2026-05-11 -Suspendido - Afectaciones en la ejecución de la obra debido a paro campesino en la región.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</si>
  <si>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AYAPEL</t>
  </si>
  <si>
    <t xml:space="preserve">2026-08-20 - Cierre de Actividad 1 Estudios y diseños
2026-07-30 - Cierre de Actividad 1 Estudios y diseños
2026-06-22 - Cierre de Actividad 1 Estudios y diseños
2026-06-22 - Sin Novedad
2026-06-16 - Sin Novedad
2026-06-09 - Sin Novedad
2026-06-01 - Sin Novedad
2026-05-25 - Sin Novedad
2026-05-19 - Sin Novedad
2026-05-11 - Sin Novedad
2026-05-05 - Sin Novedad
2026-04-27 - Jurídico: Reclamación costos Act 1 a Municipio.
Técnico: Suscripción acta de inicio Act 1 en nuevo predio propuesto.
Social: Con pertinencia social.
Presupuestal: Desarrollo de presupuesto de obra para determinar el valor de adición
 2026-04-20 - Sin Novedad
2026-04-13 - Sin Novedad                                                                                                                                      
2026-03-30 - Sin Novedad                                                                                                                                     
2026-03-24 - Sin Novedad                                                                                                                                    
2026-03-16 - Sin Novedad                                                                                                                                      
2026-03-10 - Sin Novedad                                                                                                                                    
2026-03-02 - Sin Novedad                                                                                                                                  
2026-02-23 - Sin Novedad                                                                                                                                                    </t>
  </si>
  <si>
    <t>PASTOS Y QUILLASINGAS</t>
  </si>
  <si>
    <t>MARITZA JAKELINE ALPALA DICELIS</t>
  </si>
  <si>
    <t>909-FIP-2024</t>
  </si>
  <si>
    <t>Guachucal</t>
  </si>
  <si>
    <t>PRESENTA PROYECTO CONSTRUCCION DE PLACA HUELLA EN LA VEREDA GUAN PUENTE DEL RESGUARDO INDIGENA DE MUELLAMUES EN EL MUNICIPIO DE GUACHUCAL EN EL DEPARTAMENTO DE NARIÑO.</t>
  </si>
  <si>
    <t>LIQUIDACIÓN</t>
  </si>
  <si>
    <r>
      <rPr>
        <b/>
        <sz val="8"/>
        <color rgb="FF000000"/>
        <rFont val="Calibri"/>
        <family val="2"/>
        <scheme val="minor"/>
      </rPr>
      <t xml:space="preserve">2026-08-20 </t>
    </r>
    <r>
      <rPr>
        <sz val="8"/>
        <color rgb="FF000000"/>
        <rFont val="Calibri"/>
        <family val="2"/>
        <scheme val="minor"/>
      </rPr>
      <t xml:space="preserve">El proyecto avanza satisfactoriamente su liquidación le restan temas administrativos de PGIO y actas parciales para su liquidación
</t>
    </r>
    <r>
      <rPr>
        <b/>
        <sz val="8"/>
        <color rgb="FF000000"/>
        <rFont val="Calibri"/>
        <family val="2"/>
        <scheme val="minor"/>
      </rPr>
      <t xml:space="preserve">2026-07-30 </t>
    </r>
    <r>
      <rPr>
        <sz val="8"/>
        <color rgb="FF000000"/>
        <rFont val="Calibri"/>
        <family val="2"/>
        <scheme val="minor"/>
      </rPr>
      <t xml:space="preserve">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2026-06-11.  </t>
    </r>
    <r>
      <rPr>
        <sz val="8"/>
        <color rgb="FF000000"/>
        <rFont val="Calibri"/>
        <family val="2"/>
        <scheme val="minor"/>
      </rPr>
      <t xml:space="preserve">El proyecto logra su terminación fisica al 100% se espera la entrega de la documentación administrativa, av3 y liquidación.
</t>
    </r>
    <r>
      <rPr>
        <b/>
        <sz val="8"/>
        <color rgb="FF000000"/>
        <rFont val="Calibri"/>
        <family val="2"/>
        <scheme val="minor"/>
      </rPr>
      <t xml:space="preserve">2026-05-05 </t>
    </r>
    <r>
      <rPr>
        <sz val="8"/>
        <color rgb="FF000000"/>
        <rFont val="Calibri"/>
        <family val="2"/>
        <scheme val="minor"/>
      </rPr>
      <t>El proyecto tiene fecha de terminanción el 25 de mayo de 2025, se preveé que se termine en esa fecha aunque continua con un retraso, para la fecha más leve</t>
    </r>
    <r>
      <rPr>
        <b/>
        <sz val="8"/>
        <color rgb="FF000000"/>
        <rFont val="Calibri"/>
        <family val="2"/>
        <scheme val="minor"/>
      </rPr>
      <t xml:space="preserve">.
2026-04-21 </t>
    </r>
    <r>
      <rPr>
        <sz val="8"/>
        <color rgb="FF000000"/>
        <rFont val="Calibri"/>
        <family val="2"/>
        <scheme val="minor"/>
      </rPr>
      <t xml:space="preserve">Se alcanza una ejecución de 48,23 %. Con un atraso significativo. el contratista pide un tiempo de prorroga para la ejecución del proyecto que ya se encuentra gestionada por la interventoria.
</t>
    </r>
    <r>
      <rPr>
        <b/>
        <sz val="8"/>
        <color rgb="FF000000"/>
        <rFont val="Calibri"/>
        <family val="2"/>
        <scheme val="minor"/>
      </rPr>
      <t xml:space="preserve">2026-04-07. </t>
    </r>
    <r>
      <rPr>
        <sz val="8"/>
        <color rgb="FF000000"/>
        <rFont val="Calibri"/>
        <family val="2"/>
        <scheme val="minor"/>
      </rPr>
      <t xml:space="preserve">se evidenció avance mínimo. Persistían las mismas falencias administrativas que en proyectos anteriores: trazabilidad incompleta, presenta retraso del 62%, se requiere plan de contingencia
</t>
    </r>
    <r>
      <rPr>
        <b/>
        <sz val="8"/>
        <color rgb="FF000000"/>
        <rFont val="Calibri"/>
        <family val="2"/>
        <scheme val="minor"/>
      </rPr>
      <t xml:space="preserve">2026-03-31. </t>
    </r>
    <r>
      <rPr>
        <sz val="8"/>
        <color rgb="FF000000"/>
        <rFont val="Calibri"/>
        <family val="2"/>
        <scheme val="minor"/>
      </rPr>
      <t xml:space="preserve">El proyecto retoma su ejecución luego de la complicación presentada la semana pasada, se tiene un retraso del 66% que se preveé suplir con planes de contingencia.
</t>
    </r>
    <r>
      <rPr>
        <b/>
        <sz val="8"/>
        <color rgb="FF000000"/>
        <rFont val="Calibri"/>
        <family val="2"/>
        <scheme val="minor"/>
      </rPr>
      <t xml:space="preserve">2026-03-25. </t>
    </r>
    <r>
      <rPr>
        <sz val="8"/>
        <color rgb="FF000000"/>
        <rFont val="Calibri"/>
        <family val="2"/>
        <scheme val="minor"/>
      </rPr>
      <t xml:space="preserve">Se registra alerta de avandono de obra y trabajos no llevados de acuerdo a los diseños, según visita tecnica de la supervisión; se espera tener la respuesta y cambio correspondiente en la obra. ejecución fisica en un 29%
</t>
    </r>
    <r>
      <rPr>
        <b/>
        <sz val="8"/>
        <color rgb="FF000000"/>
        <rFont val="Calibri"/>
        <family val="2"/>
        <scheme val="minor"/>
      </rPr>
      <t>2026-03-17.</t>
    </r>
    <r>
      <rPr>
        <sz val="8"/>
        <color rgb="FF000000"/>
        <rFont val="Calibri"/>
        <family val="2"/>
        <scheme val="minor"/>
      </rPr>
      <t xml:space="preserve"> El avance de obra fisico va en 22,62%, se encuentra con retraso y gestionando una prorroga, se preveeé teminar la obra en abril 2026.
</t>
    </r>
    <r>
      <rPr>
        <b/>
        <sz val="8"/>
        <color rgb="FF000000"/>
        <rFont val="Calibri"/>
        <family val="2"/>
        <scheme val="minor"/>
      </rPr>
      <t>2026-03-10.</t>
    </r>
    <r>
      <rPr>
        <sz val="8"/>
        <color rgb="FF000000"/>
        <rFont val="Calibri"/>
        <family val="2"/>
        <scheme val="minor"/>
      </rPr>
      <t xml:space="preserve"> Proyecto se encuentra con un porcentaje fisico del 18,93 % ya se tienen campamento y se arreglo la valla que estaba en mal estado, tiene un atraso considerable pero se estima terminar con dos frentes de trabajo al 4 de abril. se pide por parte de la interventoria plan de contingencia, se solicita la AV2.
</t>
    </r>
    <r>
      <rPr>
        <b/>
        <sz val="8"/>
        <color rgb="FF000000"/>
        <rFont val="Calibri"/>
        <family val="2"/>
        <scheme val="minor"/>
      </rPr>
      <t>2026-03-03</t>
    </r>
    <r>
      <rPr>
        <sz val="8"/>
        <color rgb="FF000000"/>
        <rFont val="Calibri"/>
        <family val="2"/>
        <scheme val="minor"/>
      </rPr>
      <t xml:space="preserve">. El proyecto se encuentra en ejecución luego de la prorroga con buena previsión de recursos y ejecución.
2026-02-23. Proyecto suspendido.
</t>
    </r>
    <r>
      <rPr>
        <b/>
        <sz val="8"/>
        <color rgb="FF000000"/>
        <rFont val="Calibri"/>
        <family val="2"/>
        <scheme val="minor"/>
      </rPr>
      <t>2026-02-16</t>
    </r>
    <r>
      <rPr>
        <sz val="8"/>
        <color rgb="FF000000"/>
        <rFont val="Calibri"/>
        <family val="2"/>
        <scheme val="minor"/>
      </rPr>
      <t>. Motivo de suspensión: Territorio está interviendo obras de alcantarillado donde se desarrollará el proyecto</t>
    </r>
  </si>
  <si>
    <t>Santacruz</t>
  </si>
  <si>
    <t>PRESENTA EL PROYECTO CONSTRUCCION DE PLACA HUELLA DEL RESGUARDO INDIGENA DE GUACHAVES EN EL MUNICIPIO DE SANTACRUZ EN EL DEPARTAMENTO DE NARIÑO</t>
  </si>
  <si>
    <r>
      <rPr>
        <b/>
        <sz val="8"/>
        <color rgb="FF000000"/>
        <rFont val="Calibri"/>
        <family val="2"/>
        <scheme val="minor"/>
      </rPr>
      <t xml:space="preserve">2026-08-20 </t>
    </r>
    <r>
      <rPr>
        <sz val="8"/>
        <color rgb="FF000000"/>
        <rFont val="Calibri"/>
        <family val="2"/>
        <scheme val="minor"/>
      </rPr>
      <t xml:space="preserve">El proyecto avanza satisfactoriamente su liquidación le restan temas administrativos de actas parciales para su liquidación
</t>
    </r>
    <r>
      <rPr>
        <b/>
        <sz val="8"/>
        <color rgb="FF000000"/>
        <rFont val="Calibri"/>
        <family val="2"/>
        <scheme val="minor"/>
      </rPr>
      <t xml:space="preserve">2026-07-30 </t>
    </r>
    <r>
      <rPr>
        <sz val="8"/>
        <color rgb="FF000000"/>
        <rFont val="Calibri"/>
        <family val="2"/>
        <scheme val="minor"/>
      </rPr>
      <t xml:space="preserve">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2026-06-11.  </t>
    </r>
    <r>
      <rPr>
        <sz val="8"/>
        <color rgb="FF000000"/>
        <rFont val="Calibri"/>
        <family val="2"/>
        <scheme val="minor"/>
      </rPr>
      <t xml:space="preserve">El proyecto logra su terminación fisica al 100% se espera la entrega de la documentación administrativa, av3 y liquidación.
</t>
    </r>
    <r>
      <rPr>
        <b/>
        <sz val="8"/>
        <color rgb="FF000000"/>
        <rFont val="Calibri"/>
        <family val="2"/>
        <scheme val="minor"/>
      </rPr>
      <t xml:space="preserve">2026-05-05.  </t>
    </r>
    <r>
      <rPr>
        <sz val="8"/>
        <color rgb="FF000000"/>
        <rFont val="Calibri"/>
        <family val="2"/>
        <scheme val="minor"/>
      </rPr>
      <t xml:space="preserve"> El proyecto avanza con normalidad ya se encuentra en las ultimas actividades de sellado y corte de juntas. Se espera terminar en el mes de mayo y falta AV 3.
</t>
    </r>
    <r>
      <rPr>
        <b/>
        <sz val="8"/>
        <color rgb="FF000000"/>
        <rFont val="Calibri"/>
        <family val="2"/>
        <scheme val="minor"/>
      </rPr>
      <t xml:space="preserve">2026-04-21.  </t>
    </r>
    <r>
      <rPr>
        <sz val="8"/>
        <color rgb="FF000000"/>
        <rFont val="Calibri"/>
        <family val="2"/>
        <scheme val="minor"/>
      </rPr>
      <t xml:space="preserve">se reportó 90,26 % ejecutado vs. 87,45 % programado (+2,81 %), el proyecto se está ejecutando en buena forma.
</t>
    </r>
    <r>
      <rPr>
        <b/>
        <sz val="8"/>
        <color rgb="FF000000"/>
        <rFont val="Calibri"/>
        <family val="2"/>
        <scheme val="minor"/>
      </rPr>
      <t xml:space="preserve">2026-04-07.  </t>
    </r>
    <r>
      <rPr>
        <sz val="8"/>
        <color rgb="FF000000"/>
        <rFont val="Calibri"/>
        <family val="2"/>
        <scheme val="minor"/>
      </rPr>
      <t xml:space="preserve">se reportó 59,49 % ejecutado vs. 51,44 % programado (+8,05 %), el proyecto se está ejecutando en buena forma.
</t>
    </r>
    <r>
      <rPr>
        <b/>
        <sz val="8"/>
        <color rgb="FF000000"/>
        <rFont val="Calibri"/>
        <family val="2"/>
        <scheme val="minor"/>
      </rPr>
      <t xml:space="preserve">2026-03-31. </t>
    </r>
    <r>
      <rPr>
        <sz val="8"/>
        <color rgb="FF000000"/>
        <rFont val="Calibri"/>
        <family val="2"/>
        <scheme val="minor"/>
      </rPr>
      <t xml:space="preserve">El proyecto avanza con normalidad y buena gestión. se están solucionando complicaciones en la ejecución previstas anteriormente desde los diseños; el proyecto tiene un adelanto del 13%.
</t>
    </r>
    <r>
      <rPr>
        <b/>
        <sz val="8"/>
        <color rgb="FF000000"/>
        <rFont val="Calibri"/>
        <family val="2"/>
        <scheme val="minor"/>
      </rPr>
      <t xml:space="preserve">2026-03-25. </t>
    </r>
    <r>
      <rPr>
        <sz val="8"/>
        <color rgb="FF000000"/>
        <rFont val="Calibri"/>
        <family val="2"/>
        <scheme val="minor"/>
      </rPr>
      <t xml:space="preserve">El proyecto se encuentra en ejecución, con algunos problemas de veedurias ciudadanas y temas de dificil acceso, profesionales sociales se encuentran al tanto y solucionando los inconvenientes con la comunidad.
</t>
    </r>
    <r>
      <rPr>
        <b/>
        <sz val="8"/>
        <color rgb="FF000000"/>
        <rFont val="Calibri"/>
        <family val="2"/>
        <scheme val="minor"/>
      </rPr>
      <t>2026-03-17.</t>
    </r>
    <r>
      <rPr>
        <sz val="8"/>
        <color rgb="FF000000"/>
        <rFont val="Calibri"/>
        <family val="2"/>
        <scheme val="minor"/>
      </rPr>
      <t xml:space="preserve"> El avance de obra fisico va en 28,17, el proyecto se encuentra en tiempo y forma perfecto. avanzando rápido
</t>
    </r>
    <r>
      <rPr>
        <b/>
        <sz val="8"/>
        <color rgb="FF000000"/>
        <rFont val="Calibri"/>
        <family val="2"/>
        <scheme val="minor"/>
      </rPr>
      <t xml:space="preserve">2026-03-10. </t>
    </r>
    <r>
      <rPr>
        <sz val="8"/>
        <color rgb="FF000000"/>
        <rFont val="Calibri"/>
        <family val="2"/>
        <scheme val="minor"/>
      </rPr>
      <t xml:space="preserve"> El porcentaje de ejecución es de 23,98 el proyecto va bien en tiempo y forma, ya se realizón la AV1, Se proyecta una posible finalización en el mes de abril, se incremenataron los equipos (Mixer)
</t>
    </r>
    <r>
      <rPr>
        <b/>
        <sz val="8"/>
        <color rgb="FF000000"/>
        <rFont val="Calibri"/>
        <family val="2"/>
        <scheme val="minor"/>
      </rPr>
      <t>2026-03-03.</t>
    </r>
    <r>
      <rPr>
        <sz val="8"/>
        <color rgb="FF000000"/>
        <rFont val="Calibri"/>
        <family val="2"/>
        <scheme val="minor"/>
      </rPr>
      <t xml:space="preserve"> Proyecto empieza su ejecución, por el momento con labores de compactación en sitio y personal en obra
</t>
    </r>
    <r>
      <rPr>
        <b/>
        <sz val="8"/>
        <color rgb="FF000000"/>
        <rFont val="Calibri"/>
        <family val="2"/>
        <scheme val="minor"/>
      </rPr>
      <t>2026-02-16.</t>
    </r>
    <r>
      <rPr>
        <sz val="8"/>
        <color rgb="FF000000"/>
        <rFont val="Calibri"/>
        <family val="2"/>
        <scheme val="minor"/>
      </rPr>
      <t xml:space="preserve"> Motivo de suspensión: Territorio está interviendo obras de alcantarillado donde se desarrollará el proyecto</t>
    </r>
  </si>
  <si>
    <t>CAROLINA LAVERDE</t>
  </si>
  <si>
    <t>361-FIP-2021</t>
  </si>
  <si>
    <t>Construcción De Una Plaza De Mercado En El Municipio De Inírida - Guainía</t>
  </si>
  <si>
    <t>2025-05-12. Se realizó AV3 el día 26/11/2025.</t>
  </si>
  <si>
    <t>Contadero</t>
  </si>
  <si>
    <t>PRESENTA PROYECTO CONTRUCCION DE PLACA HUELLA DE LA VEREDA EL CONTADERITO DEL CABILDO INDIGENA DE ALDEA DE MARIA PUTISNAN EN EL MUNICIPIO DE EL CONTADERO EN EL DEPARTAMENTO DE NARIÑO</t>
  </si>
  <si>
    <r>
      <rPr>
        <b/>
        <sz val="8"/>
        <color rgb="FF000000"/>
        <rFont val="Calibri"/>
        <family val="2"/>
        <scheme val="minor"/>
      </rPr>
      <t xml:space="preserve">2026-08-20 </t>
    </r>
    <r>
      <rPr>
        <sz val="8"/>
        <color rgb="FF000000"/>
        <rFont val="Calibri"/>
        <family val="2"/>
        <scheme val="minor"/>
      </rPr>
      <t xml:space="preserve">El proyecto avanza satisfactoriamente su liquidación le restan temas administrativos de actas parciales para su liquidación
</t>
    </r>
    <r>
      <rPr>
        <b/>
        <sz val="8"/>
        <color rgb="FF000000"/>
        <rFont val="Calibri"/>
        <family val="2"/>
        <scheme val="minor"/>
      </rPr>
      <t>2026-07-30</t>
    </r>
    <r>
      <rPr>
        <sz val="8"/>
        <color rgb="FF000000"/>
        <rFont val="Calibri"/>
        <family val="2"/>
        <scheme val="minor"/>
      </rPr>
      <t xml:space="preserve"> 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 xml:space="preserve">El proyecto logra su terminación fisica al 100% se espera la entrega de la documentación administrativa y liquidación.
</t>
    </r>
    <r>
      <rPr>
        <b/>
        <sz val="8"/>
        <color rgb="FF000000"/>
        <rFont val="Calibri"/>
        <family val="2"/>
        <scheme val="minor"/>
      </rPr>
      <t xml:space="preserve">2026-03-25. </t>
    </r>
    <r>
      <rPr>
        <sz val="8"/>
        <color rgb="FF000000"/>
        <rFont val="Calibri"/>
        <family val="2"/>
        <scheme val="minor"/>
      </rPr>
      <t xml:space="preserve">Proyecto pronto a culminar, el estado es satisfactorio. se preveé terminar fisicamente en marzo 2026.
</t>
    </r>
    <r>
      <rPr>
        <b/>
        <sz val="8"/>
        <color rgb="FF000000"/>
        <rFont val="Calibri"/>
        <family val="2"/>
        <scheme val="minor"/>
      </rPr>
      <t>2026-03-17.</t>
    </r>
    <r>
      <rPr>
        <sz val="8"/>
        <color rgb="FF000000"/>
        <rFont val="Calibri"/>
        <family val="2"/>
        <scheme val="minor"/>
      </rPr>
      <t xml:space="preserve"> proyecto en avance de corte y sello de juntas, pronto a culminar, se preveé terminar en marzo de 2026, con algunos inconvenientes administrativos y de senalización.
</t>
    </r>
    <r>
      <rPr>
        <b/>
        <sz val="8"/>
        <color rgb="FF000000"/>
        <rFont val="Calibri"/>
        <family val="2"/>
        <scheme val="minor"/>
      </rPr>
      <t xml:space="preserve">2026-03-10. </t>
    </r>
    <r>
      <rPr>
        <sz val="8"/>
        <color rgb="FF000000"/>
        <rFont val="Calibri"/>
        <family val="2"/>
        <scheme val="minor"/>
      </rPr>
      <t xml:space="preserve">Se esán realizando el corte y sello de juntas, falta el guarda ruedas en  una alcantarilla; 95,98% de ejecutado, se espera hacer la auditoria visible 2. cuando se tengan todos los certificados de concretos y  calibraciones de equipos.
</t>
    </r>
    <r>
      <rPr>
        <b/>
        <sz val="8"/>
        <color rgb="FF000000"/>
        <rFont val="Calibri"/>
        <family val="2"/>
        <scheme val="minor"/>
      </rPr>
      <t xml:space="preserve">2026-03-02. </t>
    </r>
    <r>
      <rPr>
        <sz val="8"/>
        <color rgb="FF000000"/>
        <rFont val="Calibri"/>
        <family val="2"/>
        <scheme val="minor"/>
      </rPr>
      <t xml:space="preserve">Se cumplieron con los avances de obra y se encuentra por terminar, solo faltan las juntas y acabados, se prevee terminar en marzo de 2026.
</t>
    </r>
    <r>
      <rPr>
        <b/>
        <sz val="8"/>
        <color rgb="FF000000"/>
        <rFont val="Calibri"/>
        <family val="2"/>
        <scheme val="minor"/>
      </rPr>
      <t>2026-02-23</t>
    </r>
    <r>
      <rPr>
        <sz val="8"/>
        <color rgb="FF000000"/>
        <rFont val="Calibri"/>
        <family val="2"/>
        <scheme val="minor"/>
      </rPr>
      <t xml:space="preserve">. Contratista ha incumplido con avances de obra, se tomarán las medidas administrativas
</t>
    </r>
    <r>
      <rPr>
        <b/>
        <sz val="8"/>
        <color rgb="FF000000"/>
        <rFont val="Calibri"/>
        <family val="2"/>
        <scheme val="minor"/>
      </rPr>
      <t>2026-02-16</t>
    </r>
    <r>
      <rPr>
        <sz val="8"/>
        <color rgb="FF000000"/>
        <rFont val="Calibri"/>
        <family val="2"/>
        <scheme val="minor"/>
      </rPr>
      <t xml:space="preserve"> Se informa que se esta a la espera del envió de la reprogramación actualizada de prorroga por 30 días al igual que el plan de contingencia.</t>
    </r>
  </si>
  <si>
    <t>POTOSÍ</t>
  </si>
  <si>
    <t>PRESENTA PROYECTO CONSTRUCCION DE PLACA HUELLA EN LA VEREDA EL CERRO GORGO DEL RESGUARDO INDIGENA DE MUESES EN EL MUNICIPIO DE POTOSI EN EL DEPARTAMENTO DE NARIÑO.</t>
  </si>
  <si>
    <r>
      <rPr>
        <b/>
        <sz val="8"/>
        <color rgb="FF000000"/>
        <rFont val="Calibri"/>
        <family val="2"/>
        <scheme val="minor"/>
      </rPr>
      <t xml:space="preserve">2026-08-20 </t>
    </r>
    <r>
      <rPr>
        <sz val="8"/>
        <color rgb="FF000000"/>
        <rFont val="Calibri"/>
        <family val="2"/>
        <scheme val="minor"/>
      </rPr>
      <t xml:space="preserve">El proyecto avanza satisfactoriamente su liquidación le restan temas administrativos de actas parciales para su liquidación
</t>
    </r>
    <r>
      <rPr>
        <b/>
        <sz val="8"/>
        <color rgb="FF000000"/>
        <rFont val="Calibri"/>
        <family val="2"/>
        <scheme val="minor"/>
      </rPr>
      <t xml:space="preserve">2026-07-30 </t>
    </r>
    <r>
      <rPr>
        <sz val="8"/>
        <color rgb="FF000000"/>
        <rFont val="Calibri"/>
        <family val="2"/>
        <scheme val="minor"/>
      </rPr>
      <t xml:space="preserve">Los proyectos avanzan satisfactoriamente en su liquidación, puesto que ya quedaron claros los temas de los deducibles y la asociación se compromete a liquidar los proyectos antes de terminar el convenio que es el 24 de agosto de 2026. </t>
    </r>
    <r>
      <rPr>
        <sz val="8"/>
        <color rgb="FFFF0000"/>
        <rFont val="Calibri"/>
        <family val="2"/>
        <scheme val="minor"/>
      </rPr>
      <t xml:space="preserve">(Este proyecto ya cumple con toda la documentación aprobada por interventoria para suscribir su acta de liquidación, falta el hito del último pago del 10% que se realizará cuando se realice el proximo comité fiduciario y se liquida el proyecto)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2026-06-11.  </t>
    </r>
    <r>
      <rPr>
        <sz val="8"/>
        <color rgb="FF000000"/>
        <rFont val="Calibri"/>
        <family val="2"/>
        <scheme val="minor"/>
      </rPr>
      <t xml:space="preserve">El proyecto logra su terminación fisica al 100% se espera la entrega de la documentación administrativa y liquidación.
</t>
    </r>
    <r>
      <rPr>
        <b/>
        <sz val="8"/>
        <color rgb="FF000000"/>
        <rFont val="Calibri"/>
        <family val="2"/>
        <scheme val="minor"/>
      </rPr>
      <t xml:space="preserve">2026-05-05 </t>
    </r>
    <r>
      <rPr>
        <sz val="8"/>
        <color rgb="FF000000"/>
        <rFont val="Calibri"/>
        <family val="2"/>
        <scheme val="minor"/>
      </rPr>
      <t xml:space="preserve">Se encuentra con un retraso del 2,38% por cierre en las vías que comunican al proyecto,tiene fecha de terminación el 25 de mayo, se preveé terminar la ejecución fisica para esa fecha.
</t>
    </r>
    <r>
      <rPr>
        <b/>
        <sz val="8"/>
        <color rgb="FF000000"/>
        <rFont val="Calibri"/>
        <family val="2"/>
        <scheme val="minor"/>
      </rPr>
      <t xml:space="preserve">2026-04-21 </t>
    </r>
    <r>
      <rPr>
        <sz val="8"/>
        <color rgb="FF000000"/>
        <rFont val="Calibri"/>
        <family val="2"/>
        <scheme val="minor"/>
      </rPr>
      <t xml:space="preserve">Se presenta un adelanto en el proyecto de 44,87 %. El proyecto se encuentra con un retraso grande. se esta gestionando una prorroga con la interventoria.
</t>
    </r>
    <r>
      <rPr>
        <b/>
        <sz val="8"/>
        <color rgb="FF000000"/>
        <rFont val="Calibri"/>
        <family val="2"/>
        <scheme val="minor"/>
      </rPr>
      <t xml:space="preserve">2026-04-07. </t>
    </r>
    <r>
      <rPr>
        <sz val="8"/>
        <color rgb="FF000000"/>
        <rFont val="Calibri"/>
        <family val="2"/>
        <scheme val="minor"/>
      </rPr>
      <t xml:space="preserve">Se reporta un atraso en el proyecto, pero sigue su ejecución, se debe presentar planes de contigencia para mitigar retraso.
</t>
    </r>
    <r>
      <rPr>
        <b/>
        <sz val="8"/>
        <color rgb="FF000000"/>
        <rFont val="Calibri"/>
        <family val="2"/>
        <scheme val="minor"/>
      </rPr>
      <t xml:space="preserve">2026-03-31. </t>
    </r>
    <r>
      <rPr>
        <sz val="8"/>
        <color rgb="FF000000"/>
        <rFont val="Calibri"/>
        <family val="2"/>
        <scheme val="minor"/>
      </rPr>
      <t xml:space="preserve">El proyecto sigue con retrasos en la ejecución, se requiere adenlantos en temas administrativos, a  la fecha el atraso es de 53%, pero minimizandolo en la marcha.
</t>
    </r>
    <r>
      <rPr>
        <b/>
        <sz val="8"/>
        <color rgb="FF000000"/>
        <rFont val="Calibri"/>
        <family val="2"/>
        <scheme val="minor"/>
      </rPr>
      <t>2026-03-25.</t>
    </r>
    <r>
      <rPr>
        <sz val="8"/>
        <color rgb="FF000000"/>
        <rFont val="Calibri"/>
        <family val="2"/>
        <scheme val="minor"/>
      </rPr>
      <t xml:space="preserve"> El proyecto presenta un retraso en obra fisico pero se encuentra en ejecución con planes de contigencia, se preveé terminar en abril de 2026.
</t>
    </r>
    <r>
      <rPr>
        <b/>
        <sz val="8"/>
        <color rgb="FF000000"/>
        <rFont val="Calibri"/>
        <family val="2"/>
        <scheme val="minor"/>
      </rPr>
      <t>2026-03-17.</t>
    </r>
    <r>
      <rPr>
        <sz val="8"/>
        <color rgb="FF000000"/>
        <rFont val="Calibri"/>
        <family val="2"/>
        <scheme val="minor"/>
      </rPr>
      <t xml:space="preserve"> El avance de obra fisico va en 15,04%, se encuentra con retraso del 30,31%
</t>
    </r>
    <r>
      <rPr>
        <b/>
        <sz val="8"/>
        <color rgb="FF000000"/>
        <rFont val="Calibri"/>
        <family val="2"/>
        <scheme val="minor"/>
      </rPr>
      <t>2026-03-10.</t>
    </r>
    <r>
      <rPr>
        <sz val="8"/>
        <color rgb="FF000000"/>
        <rFont val="Calibri"/>
        <family val="2"/>
        <scheme val="minor"/>
      </rPr>
      <t xml:space="preserve"> El proyecto entra en ejecución, con algunas condiciones problematicas de un talud en el que se cree que hay movimiento en masa, pero la interventoria no lo avala como falla geologica, se evidencian zurcos pero no se evividencia capa vegetal que se mueva, se necesita hacer ensayos con estacas y niveles.
</t>
    </r>
    <r>
      <rPr>
        <b/>
        <sz val="8"/>
        <color rgb="FF000000"/>
        <rFont val="Calibri"/>
        <family val="2"/>
        <scheme val="minor"/>
      </rPr>
      <t>2026-03-03</t>
    </r>
    <r>
      <rPr>
        <sz val="8"/>
        <color rgb="FF000000"/>
        <rFont val="Calibri"/>
        <family val="2"/>
        <scheme val="minor"/>
      </rPr>
      <t xml:space="preserve">. se sigue esperando la habilitación de vias alternas
</t>
    </r>
    <r>
      <rPr>
        <b/>
        <sz val="8"/>
        <color rgb="FF000000"/>
        <rFont val="Calibri"/>
        <family val="2"/>
        <scheme val="minor"/>
      </rPr>
      <t>2026-02-16</t>
    </r>
    <r>
      <rPr>
        <sz val="8"/>
        <color rgb="FF000000"/>
        <rFont val="Calibri"/>
        <family val="2"/>
        <scheme val="minor"/>
      </rPr>
      <t>. Se presentó desbordamiento del talud en vía alterna que se usará para el desarrollo del proyecto,está en manos del gobernador y ACIZI la determinación de obras para habilitar este tramo</t>
    </r>
  </si>
  <si>
    <t>Aldana</t>
  </si>
  <si>
    <t>PRESENTA PROYECTO CONSTRUCCION DE PLACA HUELLA EN LA VEREDA DE PAMBARROSA DEL RESGUARDO INDIGENA DE PASTAS EN EL MUNICIPIO DE ALDANA EN EL DEPARTAMENTO DE NARIÑO.</t>
  </si>
  <si>
    <r>
      <rPr>
        <b/>
        <sz val="8"/>
        <color rgb="FF000000"/>
        <rFont val="Calibri"/>
        <family val="2"/>
        <scheme val="minor"/>
      </rPr>
      <t xml:space="preserve">2026-08-20 </t>
    </r>
    <r>
      <rPr>
        <sz val="8"/>
        <color rgb="FF000000"/>
        <rFont val="Calibri"/>
        <family val="2"/>
        <scheme val="minor"/>
      </rPr>
      <t xml:space="preserve">El proyecto avanza satisfactoriamente su liquidación le restan temas administrativos de actas parciales para su liquidación
</t>
    </r>
    <r>
      <rPr>
        <b/>
        <sz val="8"/>
        <color rgb="FF000000"/>
        <rFont val="Calibri"/>
        <family val="2"/>
        <scheme val="minor"/>
      </rPr>
      <t>2026-07-30</t>
    </r>
    <r>
      <rPr>
        <sz val="8"/>
        <color rgb="FF000000"/>
        <rFont val="Calibri"/>
        <family val="2"/>
        <scheme val="minor"/>
      </rPr>
      <t xml:space="preserve"> 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 xml:space="preserve">El proyecto logra su terminación fisica al 100% se espera la entrega de la documentación administrativa y liquidación.
</t>
    </r>
    <r>
      <rPr>
        <b/>
        <sz val="8"/>
        <color rgb="FF000000"/>
        <rFont val="Calibri"/>
        <family val="2"/>
        <scheme val="minor"/>
      </rPr>
      <t xml:space="preserve">2026-03-25. </t>
    </r>
    <r>
      <rPr>
        <sz val="8"/>
        <color rgb="FF000000"/>
        <rFont val="Calibri"/>
        <family val="2"/>
        <scheme val="minor"/>
      </rPr>
      <t xml:space="preserve">El proyecto se encuentra en etapa de corte y sello de juntas, se preveé terminar en el mes de marzo de 2026.
</t>
    </r>
    <r>
      <rPr>
        <b/>
        <sz val="8"/>
        <color rgb="FF000000"/>
        <rFont val="Calibri"/>
        <family val="2"/>
        <scheme val="minor"/>
      </rPr>
      <t xml:space="preserve">2026-03-17. </t>
    </r>
    <r>
      <rPr>
        <sz val="8"/>
        <color rgb="FF000000"/>
        <rFont val="Calibri"/>
        <family val="2"/>
        <scheme val="minor"/>
      </rPr>
      <t xml:space="preserve">se encuentran realizando las ultimas actividades de obra, se preveé terminar fisicamente en marzo 2026, administrativamente empiezan a entregar los documentos completos.
</t>
    </r>
    <r>
      <rPr>
        <b/>
        <sz val="8"/>
        <color rgb="FF000000"/>
        <rFont val="Calibri"/>
        <family val="2"/>
        <scheme val="minor"/>
      </rPr>
      <t xml:space="preserve">2026-03-10. </t>
    </r>
    <r>
      <rPr>
        <sz val="8"/>
        <color rgb="FF000000"/>
        <rFont val="Calibri"/>
        <family val="2"/>
        <scheme val="minor"/>
      </rPr>
      <t xml:space="preserve">Se tienen ejecutados 200 ML para un ejecutado de 72,83% con un atraso del 12,23%
</t>
    </r>
    <r>
      <rPr>
        <b/>
        <sz val="8"/>
        <color rgb="FF000000"/>
        <rFont val="Calibri"/>
        <family val="2"/>
        <scheme val="minor"/>
      </rPr>
      <t xml:space="preserve">2026-03-02. </t>
    </r>
    <r>
      <rPr>
        <sz val="8"/>
        <color rgb="FF000000"/>
        <rFont val="Calibri"/>
        <family val="2"/>
        <scheme val="minor"/>
      </rPr>
      <t xml:space="preserve">Avances de obra con buena previsión, se prevee terminar en marzo de 2026.
</t>
    </r>
    <r>
      <rPr>
        <b/>
        <sz val="8"/>
        <color rgb="FF000000"/>
        <rFont val="Calibri"/>
        <family val="2"/>
        <scheme val="minor"/>
      </rPr>
      <t>2026-02-16.</t>
    </r>
    <r>
      <rPr>
        <sz val="8"/>
        <color rgb="FF000000"/>
        <rFont val="Calibri"/>
        <family val="2"/>
        <scheme val="minor"/>
      </rPr>
      <t xml:space="preserve"> Cuenta con todos los recursos para lograr ejecución de almenos el 70% antes de finalizar contrato de obra (14 de febrero) e interventoría aprobaría prórroga. Complicaciones por condiciones de lluvia</t>
    </r>
  </si>
  <si>
    <t>Iles</t>
  </si>
  <si>
    <t>PRESENTA PROYECTO CONSTRUCCION DE PLACA HUELLA EN LA VEREDA ALTO DEL REY DEL RESGUARDO INDIGENA DE ILES EN EL MUNICIPIO DE ILES EN EL DEPARTAMENTO DE NARIÑO.</t>
  </si>
  <si>
    <r>
      <rPr>
        <b/>
        <sz val="8"/>
        <color rgb="FF000000"/>
        <rFont val="Calibri"/>
        <family val="2"/>
        <scheme val="minor"/>
      </rPr>
      <t xml:space="preserve">2026-08-20 </t>
    </r>
    <r>
      <rPr>
        <sz val="8"/>
        <color rgb="FF000000"/>
        <rFont val="Calibri"/>
        <family val="2"/>
        <scheme val="minor"/>
      </rPr>
      <t xml:space="preserve">El proyecto avanza satisfactoriamente su liquidación le restan temas administrativos de PGIO y actas parciales para su liquidación
</t>
    </r>
    <r>
      <rPr>
        <b/>
        <sz val="8"/>
        <color rgb="FF000000"/>
        <rFont val="Calibri"/>
        <family val="2"/>
        <scheme val="minor"/>
      </rPr>
      <t xml:space="preserve">2026-07-30 </t>
    </r>
    <r>
      <rPr>
        <sz val="8"/>
        <color rgb="FF000000"/>
        <rFont val="Calibri"/>
        <family val="2"/>
        <scheme val="minor"/>
      </rPr>
      <t xml:space="preserve">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 xml:space="preserve">El proyecto logra su terminación fisica al 100% se espera la entrega de la documentación administrativa y liquidación.
</t>
    </r>
    <r>
      <rPr>
        <b/>
        <sz val="8"/>
        <color rgb="FF000000"/>
        <rFont val="Calibri"/>
        <family val="2"/>
        <scheme val="minor"/>
      </rPr>
      <t xml:space="preserve">2026-03-25. </t>
    </r>
    <r>
      <rPr>
        <sz val="8"/>
        <color rgb="FF000000"/>
        <rFont val="Calibri"/>
        <family val="2"/>
        <scheme val="minor"/>
      </rPr>
      <t xml:space="preserve">El proyecto ya se encuentra en sus ultimos avances, se esta terminando un muro de contención que retraso la obra. se preveé terminar en marzo 2026.
</t>
    </r>
    <r>
      <rPr>
        <b/>
        <sz val="8"/>
        <color rgb="FF000000"/>
        <rFont val="Calibri"/>
        <family val="2"/>
        <scheme val="minor"/>
      </rPr>
      <t xml:space="preserve">2026-03-17. </t>
    </r>
    <r>
      <rPr>
        <sz val="8"/>
        <color rgb="FF000000"/>
        <rFont val="Calibri"/>
        <family val="2"/>
        <scheme val="minor"/>
      </rPr>
      <t xml:space="preserve">Pese al retraso el proyecto continua su curso, se preveé terminar en marzo 2026.
</t>
    </r>
    <r>
      <rPr>
        <b/>
        <sz val="8"/>
        <color rgb="FF000000"/>
        <rFont val="Calibri"/>
        <family val="2"/>
        <scheme val="minor"/>
      </rPr>
      <t>2026-03-10.</t>
    </r>
    <r>
      <rPr>
        <sz val="8"/>
        <color rgb="FF000000"/>
        <rFont val="Calibri"/>
        <family val="2"/>
        <scheme val="minor"/>
      </rPr>
      <t xml:space="preserve"> Se funde muro de alcantarilla faltante y el descole de la misma, con 84,89% en ejecución fisica.
</t>
    </r>
    <r>
      <rPr>
        <b/>
        <sz val="8"/>
        <color rgb="FF000000"/>
        <rFont val="Calibri"/>
        <family val="2"/>
        <scheme val="minor"/>
      </rPr>
      <t xml:space="preserve">2026-03-02. </t>
    </r>
    <r>
      <rPr>
        <sz val="8"/>
        <color rgb="FF000000"/>
        <rFont val="Calibri"/>
        <family val="2"/>
        <scheme val="minor"/>
      </rPr>
      <t xml:space="preserve">Se preve AV3 y entrega a la comunidad en marzo de 2026
</t>
    </r>
    <r>
      <rPr>
        <b/>
        <sz val="8"/>
        <color rgb="FF000000"/>
        <rFont val="Calibri"/>
        <family val="2"/>
        <scheme val="minor"/>
      </rPr>
      <t>2026-02-16.</t>
    </r>
    <r>
      <rPr>
        <sz val="8"/>
        <color rgb="FF000000"/>
        <rFont val="Calibri"/>
        <family val="2"/>
        <scheme val="minor"/>
      </rPr>
      <t xml:space="preserve"> Previsión de incumplimiento,condiciones climáticas adversas,inconvenientes sociales con vecinos aledaños. Gestión acompañada por PS, gobernador y ACIZI con medidas de contingencias</t>
    </r>
  </si>
  <si>
    <t>Pupiales</t>
  </si>
  <si>
    <t>SOLICITUD DE RECURSOS CONSTRUCCION DE LA PLACA HUELLA EN LA VIA QUE COMUNICA A LA VEREDA MIRAFLORES CON EL CASCO URBANO DE PUPIALES, PERTENECIENTE AL CABILDO INDIGENA DE PUPIALES, GRAN PUEBLO DE LOS PASTOS DEPARTAMENTO DE NARIÑO.</t>
  </si>
  <si>
    <r>
      <rPr>
        <b/>
        <sz val="8"/>
        <color rgb="FF000000"/>
        <rFont val="Calibri"/>
        <family val="2"/>
        <scheme val="minor"/>
      </rPr>
      <t xml:space="preserve">2026-08-20 </t>
    </r>
    <r>
      <rPr>
        <sz val="8"/>
        <color rgb="FF000000"/>
        <rFont val="Calibri"/>
        <family val="2"/>
        <scheme val="minor"/>
      </rPr>
      <t xml:space="preserve">El proyecto se encuentra listo en temas de documentación para su liquidación
</t>
    </r>
    <r>
      <rPr>
        <b/>
        <sz val="8"/>
        <color rgb="FF000000"/>
        <rFont val="Calibri"/>
        <family val="2"/>
        <scheme val="minor"/>
      </rPr>
      <t>2026-07-30</t>
    </r>
    <r>
      <rPr>
        <sz val="8"/>
        <color rgb="FF000000"/>
        <rFont val="Calibri"/>
        <family val="2"/>
        <scheme val="minor"/>
      </rPr>
      <t xml:space="preserve"> Los proyectos avanzan satisfactoriamente en su liquidación, puesto que ya quedaron claros los temas de los deducibles y la asociación se compromete a liquidar los proyectos antes de terminar el convenio que es el 24 de agosto de 2026</t>
    </r>
    <r>
      <rPr>
        <sz val="8"/>
        <color rgb="FFFF0000"/>
        <rFont val="Calibri"/>
        <family val="2"/>
        <scheme val="minor"/>
      </rPr>
      <t xml:space="preserve">. (Este proyecto ya cumple con toda la documentación aprobada por interventoria para suscribir su acta de liquidación, falta el hito del último pago del 10% que se realizará cuando se realice el proximo comité fiduciario y se liquida el proyecto)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2026-02-16. </t>
    </r>
    <r>
      <rPr>
        <sz val="8"/>
        <color rgb="FF000000"/>
        <rFont val="Calibri"/>
        <family val="2"/>
        <scheme val="minor"/>
      </rPr>
      <t>Obra PREliquidada el pasado 4 de febrero de 2026</t>
    </r>
  </si>
  <si>
    <t>MALLAMA</t>
  </si>
  <si>
    <t>Mejoramiento vial mediante la construcción de placa huella vereda Tercan en el Resguardo Indigena el Gran Mallama municipio de Mallama</t>
  </si>
  <si>
    <r>
      <rPr>
        <b/>
        <sz val="8"/>
        <color rgb="FF000000"/>
        <rFont val="Calibri"/>
        <family val="2"/>
        <scheme val="minor"/>
      </rPr>
      <t>2026-08-20</t>
    </r>
    <r>
      <rPr>
        <sz val="8"/>
        <color rgb="FF000000"/>
        <rFont val="Calibri"/>
        <family val="2"/>
        <scheme val="minor"/>
      </rPr>
      <t xml:space="preserve"> El proyecto se encuentra listo en temas de documentación para su liquidación
</t>
    </r>
    <r>
      <rPr>
        <b/>
        <sz val="8"/>
        <color rgb="FF000000"/>
        <rFont val="Calibri"/>
        <family val="2"/>
        <scheme val="minor"/>
      </rPr>
      <t xml:space="preserve">2026-07-30 </t>
    </r>
    <r>
      <rPr>
        <sz val="8"/>
        <color rgb="FF000000"/>
        <rFont val="Calibri"/>
        <family val="2"/>
        <scheme val="minor"/>
      </rPr>
      <t>Los proyectos avanzan satisfactoriamente en su liquidación, puesto que ya quedaron claros los temas de los deducibles y la asociación se compromete a liquidar los proyectos antes de terminar el convenio que es el 24 de agosto de 2026</t>
    </r>
    <r>
      <rPr>
        <b/>
        <sz val="8"/>
        <color rgb="FF000000"/>
        <rFont val="Calibri"/>
        <family val="2"/>
        <scheme val="minor"/>
      </rPr>
      <t>.</t>
    </r>
    <r>
      <rPr>
        <sz val="8"/>
        <color rgb="FFFF0000"/>
        <rFont val="Calibri"/>
        <family val="2"/>
        <scheme val="minor"/>
      </rPr>
      <t xml:space="preserve"> (Este proyecto ya cumple con toda la documentación aprobada por interventoria para suscribir su acta de liquidación, falta el hito del último pago del 10% que se realizará cuando se realice el proximo comité fiduciario y se liquida el proyecto)
</t>
    </r>
    <r>
      <rPr>
        <b/>
        <sz val="8"/>
        <color rgb="FF000000"/>
        <rFont val="Calibri"/>
        <family val="2"/>
        <scheme val="minor"/>
      </rPr>
      <t>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2026-05-30</t>
    </r>
    <r>
      <rPr>
        <sz val="8"/>
        <color rgb="FF000000"/>
        <rFont val="Calibri"/>
        <family val="2"/>
        <scheme val="minor"/>
      </rPr>
      <t xml:space="preserve">.  El proyecto logra su terminación fisica al 100% se espera la entrega de la documentación administrativa y liquidación.
</t>
    </r>
    <r>
      <rPr>
        <b/>
        <sz val="8"/>
        <color rgb="FF000000"/>
        <rFont val="Calibri"/>
        <family val="2"/>
        <scheme val="minor"/>
      </rPr>
      <t xml:space="preserve">2026-03-31. </t>
    </r>
    <r>
      <rPr>
        <sz val="8"/>
        <color rgb="FF000000"/>
        <rFont val="Calibri"/>
        <family val="2"/>
        <scheme val="minor"/>
      </rPr>
      <t xml:space="preserve">Sigue en proceso de liquidación
</t>
    </r>
    <r>
      <rPr>
        <b/>
        <sz val="8"/>
        <color rgb="FF000000"/>
        <rFont val="Calibri"/>
        <family val="2"/>
        <scheme val="minor"/>
      </rPr>
      <t>2026-03-10.</t>
    </r>
    <r>
      <rPr>
        <sz val="8"/>
        <color rgb="FF000000"/>
        <rFont val="Calibri"/>
        <family val="2"/>
        <scheme val="minor"/>
      </rPr>
      <t xml:space="preserve"> Se sigue en proceso de la liquidación, esperando la aprobación del pago en el comité fiduciario; ya se enviaron las observaciones.
</t>
    </r>
    <r>
      <rPr>
        <b/>
        <sz val="8"/>
        <color rgb="FF000000"/>
        <rFont val="Calibri"/>
        <family val="2"/>
        <scheme val="minor"/>
      </rPr>
      <t>2026-02-16.</t>
    </r>
    <r>
      <rPr>
        <sz val="8"/>
        <color rgb="FF000000"/>
        <rFont val="Calibri"/>
        <family val="2"/>
        <scheme val="minor"/>
      </rPr>
      <t xml:space="preserve"> En proceso de liquidación revisada por la interventoría
</t>
    </r>
  </si>
  <si>
    <t>Funes</t>
  </si>
  <si>
    <t>CONTRUCCION DE PLAC HUELLA EN LA VEREDA EL TERRENO DEL RESGUARDO INDIGENA DE FUNES, EN EL MUNICIPIO DE FUNES EN EL DEPARTAMENTO DE NARIÑO</t>
  </si>
  <si>
    <r>
      <rPr>
        <b/>
        <sz val="8"/>
        <color rgb="FF000000"/>
        <rFont val="Calibri"/>
        <family val="2"/>
        <scheme val="minor"/>
      </rPr>
      <t>2026-08-20</t>
    </r>
    <r>
      <rPr>
        <sz val="8"/>
        <color rgb="FF000000"/>
        <rFont val="Calibri"/>
        <family val="2"/>
        <scheme val="minor"/>
      </rPr>
      <t xml:space="preserve"> El proyecto avanza satisfactoriamente su liquidación le restan temas administrativos de actas parciales para su liquidación
</t>
    </r>
    <r>
      <rPr>
        <b/>
        <sz val="8"/>
        <color rgb="FF000000"/>
        <rFont val="Calibri"/>
        <family val="2"/>
        <scheme val="minor"/>
      </rPr>
      <t>2026-07-30</t>
    </r>
    <r>
      <rPr>
        <sz val="8"/>
        <color rgb="FF000000"/>
        <rFont val="Calibri"/>
        <family val="2"/>
        <scheme val="minor"/>
      </rPr>
      <t xml:space="preserve"> 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 xml:space="preserve">El proyecto logra su terminación fisica al 100% se espera la entrega de la documentación administrativa y liquidación.
</t>
    </r>
    <r>
      <rPr>
        <b/>
        <sz val="8"/>
        <color rgb="FF000000"/>
        <rFont val="Calibri"/>
        <family val="2"/>
        <scheme val="minor"/>
      </rPr>
      <t xml:space="preserve">2026-03-10. </t>
    </r>
    <r>
      <rPr>
        <sz val="8"/>
        <color rgb="FF000000"/>
        <rFont val="Calibri"/>
        <family val="2"/>
        <scheme val="minor"/>
      </rPr>
      <t xml:space="preserve">Se sigue a la espera de la auditoria visible 3.
</t>
    </r>
    <r>
      <rPr>
        <b/>
        <sz val="8"/>
        <color rgb="FF000000"/>
        <rFont val="Calibri"/>
        <family val="2"/>
        <scheme val="minor"/>
      </rPr>
      <t>2026-02-16.</t>
    </r>
    <r>
      <rPr>
        <sz val="8"/>
        <color rgb="FF000000"/>
        <rFont val="Calibri"/>
        <family val="2"/>
        <scheme val="minor"/>
      </rPr>
      <t xml:space="preserve"> Se preve AV3 y entrega a la comunidad en febrero de 2026</t>
    </r>
  </si>
  <si>
    <t>LA MACARENA</t>
  </si>
  <si>
    <t>El municipio desistió debido al tamaño final de 650 m2 del PAS a construir.                                      Proyecto iniciado en actividad 1. El municipio formalizó su desistimiento mediante el oficio SMP 120-1523 del 15 de septiembre de 2025, al señalar limitaciones para la implantación del diseño arquitectónico en el predio postulado, las cuales no pudieron ser superadas pese a las mesas de trabajo adelantadas.</t>
  </si>
  <si>
    <t>PRESENTA EL PROYECTO CONSTRUCCION DE LA PLACA HUELLA EN LA VEREDA BUENA VISTA ALTO DEL RESGUARDO INDIGENA LAGUNA PEJENDINO EN EL MUNICIPIO DE PASTO EN EL DEPARTAMENTO DE NARIÑO.</t>
  </si>
  <si>
    <r>
      <rPr>
        <b/>
        <sz val="8"/>
        <color rgb="FF000000"/>
        <rFont val="Calibri"/>
        <family val="2"/>
        <scheme val="minor"/>
      </rPr>
      <t>2026-08-20</t>
    </r>
    <r>
      <rPr>
        <sz val="8"/>
        <color rgb="FF000000"/>
        <rFont val="Calibri"/>
        <family val="2"/>
        <scheme val="minor"/>
      </rPr>
      <t xml:space="preserve"> El proyecto avanza satisfactoriamente su liquidación le restan temas administrativos de actas parciales para su liquidación
</t>
    </r>
    <r>
      <rPr>
        <b/>
        <sz val="8"/>
        <color rgb="FF000000"/>
        <rFont val="Calibri"/>
        <family val="2"/>
        <scheme val="minor"/>
      </rPr>
      <t xml:space="preserve">2026-07-30 </t>
    </r>
    <r>
      <rPr>
        <sz val="8"/>
        <color rgb="FF000000"/>
        <rFont val="Calibri"/>
        <family val="2"/>
        <scheme val="minor"/>
      </rPr>
      <t xml:space="preserve">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 xml:space="preserve">El proyecto logra su terminación fisica al 100% se espera la entrega de la documentación administrativa y liquidación.
</t>
    </r>
    <r>
      <rPr>
        <b/>
        <sz val="8"/>
        <color rgb="FF000000"/>
        <rFont val="Calibri"/>
        <family val="2"/>
        <scheme val="minor"/>
      </rPr>
      <t>2026-03-10</t>
    </r>
    <r>
      <rPr>
        <sz val="8"/>
        <color rgb="FF000000"/>
        <rFont val="Calibri"/>
        <family val="2"/>
        <scheme val="minor"/>
      </rPr>
      <t xml:space="preserve">. Se sigue a la espera de la auditoria visible 3. (19 de marzo posible)
</t>
    </r>
    <r>
      <rPr>
        <b/>
        <sz val="8"/>
        <color rgb="FF000000"/>
        <rFont val="Calibri"/>
        <family val="2"/>
        <scheme val="minor"/>
      </rPr>
      <t>2026-03-02</t>
    </r>
    <r>
      <rPr>
        <sz val="8"/>
        <color rgb="FF000000"/>
        <rFont val="Calibri"/>
        <family val="2"/>
        <scheme val="minor"/>
      </rPr>
      <t>. Se preve AV3 y entrega a la comunidad en marzo de 2026
2026-02-16. Revisión procedimientos constructivos y correcciones respectivas</t>
    </r>
  </si>
  <si>
    <t>LA TOLA</t>
  </si>
  <si>
    <t xml:space="preserve">2026-04-27 - En cierre de productos actividad 1. No viable presupuestal.                                                                                                                                   
2026-04-20 - Sin Novedad
2026-04-13 - Sin Novedad                                                                                                                                      
2026-03-30 - Sin Novedad                                                                                                                                     
2026-03-24 - Sin Novedad                                                                                                                                    
2026-03-16 - Sin Novedad                                                                                                                                      
2026-03-10 - Sin Novedad                                                                                                                                    
2026-03-02 - Sin Novedad                                                                                                                                  
2026-02-23 - Sin Novedad                                                                                                                                                     </t>
  </si>
  <si>
    <t>307-FIP-2017</t>
  </si>
  <si>
    <t>LA VIRGINIA</t>
  </si>
  <si>
    <t>Plaza de mercado municipio La Virginia - Risaralda</t>
  </si>
  <si>
    <t>2026-05-07. Se realizó la AV3 y se cuenta con Acta de Entrega y Recibo Final, así como con el Acta de Entrega para el Cumplimiento Social (AECS), previo cumplimiento del Plan de Sostenibilidad. No obstante, durante la presente semana se presentó una situación relacionada con observaciones formuladas por beneficiarios adjudicatarios de locales, quienes reportaron deterioro prematuro en algunas actividades ejecutadas de la obra. En consecuencia, la Alcaldía requirió al contratista de obra para la respectiva subsanación en el marco de la estabilidad de las obras. Adicionalmente, persiste una situación de carácter social derivada de reclamaciones por parte de comerciantes que solicitan asignación de locales, pese a no estar incluidos, presuntamente, dentro del censo adelantado por la Entidad Territorial. Desde el componente técnico, se considera necesario que la Entidad Territorial, en calidad de operador del proyecto, adelante el cierre de la situación con el contratista de obra, contando con el acompañamiento de la interventoría para la validación de las actividades ejecutadas. Teniendo en cuenta el contexto actual, se recomienda considerar los riesgos sociales y de seguridad asociados a la realización de eventos públicos relacionados con el proyecto.</t>
  </si>
  <si>
    <t>CONSTRUCCION DE PLACA HUELLA EN LA VEREDA VOCACIONAL DELM CABILDO INDIGENA DE CATAMBUCO EN LA CIUDAD DE PASTO EN EL DEPARTAMENTO DE NARIÑO.</t>
  </si>
  <si>
    <r>
      <rPr>
        <b/>
        <sz val="8"/>
        <color rgb="FF000000"/>
        <rFont val="Calibri"/>
        <family val="2"/>
        <scheme val="minor"/>
      </rPr>
      <t xml:space="preserve">2026-08-20 </t>
    </r>
    <r>
      <rPr>
        <sz val="8"/>
        <color rgb="FF000000"/>
        <rFont val="Calibri"/>
        <family val="2"/>
        <scheme val="minor"/>
      </rPr>
      <t xml:space="preserve">El proyecto avanza satisfactoriamente su liquidación le restan temas administrativos de actas parciales para su liquidación
</t>
    </r>
    <r>
      <rPr>
        <b/>
        <sz val="8"/>
        <color rgb="FF000000"/>
        <rFont val="Calibri"/>
        <family val="2"/>
        <scheme val="minor"/>
      </rPr>
      <t>2026-07-30</t>
    </r>
    <r>
      <rPr>
        <sz val="8"/>
        <color rgb="FF000000"/>
        <rFont val="Calibri"/>
        <family val="2"/>
        <scheme val="minor"/>
      </rPr>
      <t xml:space="preserve"> 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 xml:space="preserve">El proyecto logra su terminación fisica al 100% se espera la entrega de la documentación administrativa y liquidación.
</t>
    </r>
    <r>
      <rPr>
        <b/>
        <sz val="8"/>
        <color rgb="FF000000"/>
        <rFont val="Calibri"/>
        <family val="2"/>
        <scheme val="minor"/>
      </rPr>
      <t xml:space="preserve">2026-03-10. </t>
    </r>
    <r>
      <rPr>
        <sz val="8"/>
        <color rgb="FF000000"/>
        <rFont val="Calibri"/>
        <family val="2"/>
        <scheme val="minor"/>
      </rPr>
      <t xml:space="preserve">Se sigue a la espera de la auditoria visible 3. (Aún no tiene fecha)
</t>
    </r>
    <r>
      <rPr>
        <b/>
        <sz val="8"/>
        <color rgb="FF000000"/>
        <rFont val="Calibri"/>
        <family val="2"/>
        <scheme val="minor"/>
      </rPr>
      <t>2026-02-16.</t>
    </r>
    <r>
      <rPr>
        <sz val="8"/>
        <color rgb="FF000000"/>
        <rFont val="Calibri"/>
        <family val="2"/>
        <scheme val="minor"/>
      </rPr>
      <t xml:space="preserve"> Se preve AV3 y entrega a la comunidad en febrero de 2026</t>
    </r>
  </si>
  <si>
    <t>PRESENTA PROYECTO CONSTRUCCIÓN DE PLACA HUELLA EN LAS VEREDAS BELLAVISTA Y LA PLAYA DE CABILDOS INDIGENAS DE OBONUCO EN EL MUNICIPIO DE PASTO EN EL DEPARTAMENTO DE NARIÑO</t>
  </si>
  <si>
    <r>
      <rPr>
        <b/>
        <sz val="8"/>
        <color rgb="FF000000"/>
        <rFont val="Calibri"/>
        <family val="2"/>
        <scheme val="minor"/>
      </rPr>
      <t>2026-08-20</t>
    </r>
    <r>
      <rPr>
        <sz val="8"/>
        <color rgb="FF000000"/>
        <rFont val="Calibri"/>
        <family val="2"/>
        <scheme val="minor"/>
      </rPr>
      <t xml:space="preserve"> El proyecto avanza satisfactoriamente su liquidación le restan temas administrativos de PGIO y actas parciales para su liquidación
</t>
    </r>
    <r>
      <rPr>
        <b/>
        <sz val="8"/>
        <color rgb="FF000000"/>
        <rFont val="Calibri"/>
        <family val="2"/>
        <scheme val="minor"/>
      </rPr>
      <t>2026-07-30</t>
    </r>
    <r>
      <rPr>
        <sz val="8"/>
        <color rgb="FF000000"/>
        <rFont val="Calibri"/>
        <family val="2"/>
        <scheme val="minor"/>
      </rPr>
      <t xml:space="preserve"> Los proyectos avanzan satisfactoriamente en su liquidación, puesto que ya quedaron claros los temas de los deducibles y la asociación se compromete a liquidar los proyectos antes de terminar el convenio que es el 24 de agosto de 2026</t>
    </r>
    <r>
      <rPr>
        <b/>
        <sz val="8"/>
        <color rgb="FF000000"/>
        <rFont val="Calibri"/>
        <family val="2"/>
        <scheme val="minor"/>
      </rPr>
      <t xml:space="preserve">.
2026-06-17 </t>
    </r>
    <r>
      <rPr>
        <sz val="8"/>
        <color rgb="FF000000"/>
        <rFont val="Calibri"/>
        <family val="2"/>
        <scheme val="minor"/>
      </rPr>
      <t xml:space="preserve"> El proyecto avanza con un avance del 63% pero tiene retraso del  35,11%, la interventoría pide plan de contingencia para acabar satisfactoriamente antes de que se termine el mes de junio.
</t>
    </r>
    <r>
      <rPr>
        <b/>
        <sz val="8"/>
        <color rgb="FF000000"/>
        <rFont val="Calibri"/>
        <family val="2"/>
        <scheme val="minor"/>
      </rPr>
      <t xml:space="preserve">2026-06-11 </t>
    </r>
    <r>
      <rPr>
        <sz val="8"/>
        <color rgb="FF000000"/>
        <rFont val="Calibri"/>
        <family val="2"/>
        <scheme val="minor"/>
      </rPr>
      <t xml:space="preserve">El proyecto avanza con un retraso del 23,13%, en temas administrativos estamos a la espera de que entreguen documentación y se espera que este mes se mitigue el retraso para que no se tenga que hacer una máxima permanencia a la interventoría.
</t>
    </r>
    <r>
      <rPr>
        <b/>
        <sz val="8"/>
        <color rgb="FF000000"/>
        <rFont val="Calibri"/>
        <family val="2"/>
        <scheme val="minor"/>
      </rPr>
      <t xml:space="preserve">2026-05-05 </t>
    </r>
    <r>
      <rPr>
        <sz val="8"/>
        <color rgb="FF000000"/>
        <rFont val="Calibri"/>
        <family val="2"/>
        <scheme val="minor"/>
      </rPr>
      <t xml:space="preserve">Según el comité la interventoria levanta acta de inicio el 05 de mayo de 2026, viendo la obra un proyecto factible para ejecutar en los tiempos previstos.
</t>
    </r>
    <r>
      <rPr>
        <b/>
        <sz val="8"/>
        <color rgb="FF000000"/>
        <rFont val="Calibri"/>
        <family val="2"/>
        <scheme val="minor"/>
      </rPr>
      <t xml:space="preserve">2026-04-21 </t>
    </r>
    <r>
      <rPr>
        <sz val="8"/>
        <color rgb="FF000000"/>
        <rFont val="Calibri"/>
        <family val="2"/>
        <scheme val="minor"/>
      </rPr>
      <t xml:space="preserve">Se argumenta que el proyecto del territorio ya esta pronto a terminar y que se va a iniciar pronto la placa huella. la interventoria estudia los tiempos puesto que puede que el contrato de ellos no abarque en tiempo la ejecución de este proyecto, a la espera de la terminación del proyecto ajeno al de prosperidad social que se preveé sea el viernes 24 de abril.
</t>
    </r>
    <r>
      <rPr>
        <b/>
        <sz val="8"/>
        <color rgb="FF000000"/>
        <rFont val="Calibri"/>
        <family val="2"/>
        <scheme val="minor"/>
      </rPr>
      <t>2026-04-07.</t>
    </r>
    <r>
      <rPr>
        <sz val="8"/>
        <color rgb="FF000000"/>
        <rFont val="Calibri"/>
        <family val="2"/>
        <scheme val="minor"/>
      </rPr>
      <t xml:space="preserve"> El contratista pide a interventoria una prorroga de 15 días habíles hasta el 30 de abril para que terminen las obras de acueducto en el lugar y poder empezar la ejecución. Se argumenta que las obras han avanzado y que se espera que se termine en esta fecha, la interventoria evaluará la prorroga pues en esa fecha se termina el contrato de interventoría, estudiaran los argumentos y darán una respuesta Nueva fecha de reinicio prevista: 30 de abril.
</t>
    </r>
    <r>
      <rPr>
        <b/>
        <sz val="8"/>
        <color rgb="FF000000"/>
        <rFont val="Calibri"/>
        <family val="2"/>
        <scheme val="minor"/>
      </rPr>
      <t>2026-03-31.</t>
    </r>
    <r>
      <rPr>
        <sz val="8"/>
        <color rgb="FF000000"/>
        <rFont val="Calibri"/>
        <family val="2"/>
        <scheme val="minor"/>
      </rPr>
      <t xml:space="preserve"> Se acepto Prórroga N° 3 de la suspensión N° 1, vigente desde el 20 de marzo. Nueva fecha de reinicio prevista: 9 de abril.
</t>
    </r>
    <r>
      <rPr>
        <b/>
        <sz val="8"/>
        <color rgb="FF000000"/>
        <rFont val="Calibri"/>
        <family val="2"/>
        <scheme val="minor"/>
      </rPr>
      <t xml:space="preserve">2026-03-25. </t>
    </r>
    <r>
      <rPr>
        <sz val="8"/>
        <color rgb="FF000000"/>
        <rFont val="Calibri"/>
        <family val="2"/>
        <scheme val="minor"/>
      </rPr>
      <t xml:space="preserve">Sigue suspendido con prorroga aprobada, problemas con obras de acueducto, la asociación ACIZI indica que el proyecto siguen en curso y toma la decisión de esperar las obras para luego continuar con el proyecto sin hacer un reintegro de recursos a otro proyecto.
</t>
    </r>
    <r>
      <rPr>
        <b/>
        <sz val="8"/>
        <color rgb="FF000000"/>
        <rFont val="Calibri"/>
        <family val="2"/>
        <scheme val="minor"/>
      </rPr>
      <t xml:space="preserve"> 2026-03-17.</t>
    </r>
    <r>
      <rPr>
        <sz val="8"/>
        <color rgb="FF000000"/>
        <rFont val="Calibri"/>
        <family val="2"/>
        <scheme val="minor"/>
      </rPr>
      <t xml:space="preserve"> Sigue suspendido con prorroga aprobada, problemas con obras de acueducto.
</t>
    </r>
    <r>
      <rPr>
        <b/>
        <sz val="8"/>
        <color rgb="FF000000"/>
        <rFont val="Calibri"/>
        <family val="2"/>
        <scheme val="minor"/>
      </rPr>
      <t>2026-03-10.</t>
    </r>
    <r>
      <rPr>
        <sz val="8"/>
        <color rgb="FF000000"/>
        <rFont val="Calibri"/>
        <family val="2"/>
        <scheme val="minor"/>
      </rPr>
      <t xml:space="preserve"> Sigue suspendido con prorroga aprobada.
</t>
    </r>
    <r>
      <rPr>
        <b/>
        <sz val="8"/>
        <color rgb="FF000000"/>
        <rFont val="Calibri"/>
        <family val="2"/>
        <scheme val="minor"/>
      </rPr>
      <t>2026-03-03.</t>
    </r>
    <r>
      <rPr>
        <sz val="8"/>
        <color rgb="FF000000"/>
        <rFont val="Calibri"/>
        <family val="2"/>
        <scheme val="minor"/>
      </rPr>
      <t xml:space="preserve"> Por bajos recursos de las obras que se ejecutan no se han terminado y se espera que se terminen para la ejecución del proyecto
</t>
    </r>
    <r>
      <rPr>
        <b/>
        <sz val="8"/>
        <color rgb="FF000000"/>
        <rFont val="Calibri"/>
        <family val="2"/>
        <scheme val="minor"/>
      </rPr>
      <t>2026-02-16.</t>
    </r>
    <r>
      <rPr>
        <sz val="8"/>
        <color rgb="FF000000"/>
        <rFont val="Calibri"/>
        <family val="2"/>
        <scheme val="minor"/>
      </rPr>
      <t xml:space="preserve"> Municipio ha iniciado obras de alcantarillado afectando el inicio de placa huella. Sin personal en
terreno que pone en riesgo la ejecución del proyecto. Resolución en manos de ACIZI y gobernador de Obonuco. </t>
    </r>
  </si>
  <si>
    <t>CUMBAL</t>
  </si>
  <si>
    <t>Mejoramiento de vìas rurales, mediante placa huellas sector Cascarillo La Moledora, resguardo Indìgena de Mayasquer, municipo de Cumbal Nariño</t>
  </si>
  <si>
    <r>
      <rPr>
        <b/>
        <sz val="8"/>
        <color rgb="FF000000"/>
        <rFont val="Calibri"/>
        <family val="2"/>
        <scheme val="minor"/>
      </rPr>
      <t>2026-08-20</t>
    </r>
    <r>
      <rPr>
        <sz val="8"/>
        <color rgb="FF000000"/>
        <rFont val="Calibri"/>
        <family val="2"/>
        <scheme val="minor"/>
      </rPr>
      <t xml:space="preserve"> El proyecto avanza satisfactoriamente su liquidación le restan temas administrativos de PGIO y actas parciales para su liquidación
</t>
    </r>
    <r>
      <rPr>
        <b/>
        <sz val="8"/>
        <color rgb="FF000000"/>
        <rFont val="Calibri"/>
        <family val="2"/>
        <scheme val="minor"/>
      </rPr>
      <t>2026-07-30</t>
    </r>
    <r>
      <rPr>
        <sz val="8"/>
        <color rgb="FF000000"/>
        <rFont val="Calibri"/>
        <family val="2"/>
        <scheme val="minor"/>
      </rPr>
      <t xml:space="preserve"> 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2026-06-17. </t>
    </r>
    <r>
      <rPr>
        <sz val="8"/>
        <color rgb="FF000000"/>
        <rFont val="Calibri"/>
        <family val="2"/>
        <scheme val="minor"/>
      </rPr>
      <t xml:space="preserve"> El proyecto logra su terminación fisica al 100% se espera la entrega de la documentación administrativa y liquidación.
</t>
    </r>
    <r>
      <rPr>
        <b/>
        <sz val="8"/>
        <color rgb="FF000000"/>
        <rFont val="Calibri"/>
        <family val="2"/>
        <scheme val="minor"/>
      </rPr>
      <t>2026-06-11</t>
    </r>
    <r>
      <rPr>
        <sz val="8"/>
        <color rgb="FF000000"/>
        <rFont val="Calibri"/>
        <family val="2"/>
        <scheme val="minor"/>
      </rPr>
      <t xml:space="preserve"> El proyecto avanza en buena forma, va cumpliendo con el cronograma, de hecho es un proyecto ejemplo que ha superado muchos desafios, se preveé que termine su ejecución fisica este mes, buena información administrativa y han presentado actas parciales.
</t>
    </r>
    <r>
      <rPr>
        <b/>
        <sz val="8"/>
        <color rgb="FF000000"/>
        <rFont val="Calibri"/>
        <family val="2"/>
        <scheme val="minor"/>
      </rPr>
      <t xml:space="preserve">2026-05-05 </t>
    </r>
    <r>
      <rPr>
        <sz val="8"/>
        <color rgb="FF000000"/>
        <rFont val="Calibri"/>
        <family val="2"/>
        <scheme val="minor"/>
      </rPr>
      <t xml:space="preserve">El proyecto avanza en buena forma, se realizo auditoria visible el 28 de abril de 2026. se preveé terminar antes del tiempo previsto.
</t>
    </r>
    <r>
      <rPr>
        <b/>
        <sz val="8"/>
        <color rgb="FF000000"/>
        <rFont val="Calibri"/>
        <family val="2"/>
        <scheme val="minor"/>
      </rPr>
      <t xml:space="preserve">2026-04-21. </t>
    </r>
    <r>
      <rPr>
        <sz val="8"/>
        <color rgb="FF000000"/>
        <rFont val="Calibri"/>
        <family val="2"/>
        <scheme val="minor"/>
      </rPr>
      <t xml:space="preserve">El proyecto avanza en buena forma, con un retraso que se preveé mitigar en las proximas semanas, como alerta no se dejó ingresar al personal de prosperidad social a la zona por seguridad y se espera la auditoria visible 1 el 28 de abril de 2026.
</t>
    </r>
    <r>
      <rPr>
        <b/>
        <sz val="8"/>
        <color rgb="FF000000"/>
        <rFont val="Calibri"/>
        <family val="2"/>
        <scheme val="minor"/>
      </rPr>
      <t xml:space="preserve">2026-04-07. </t>
    </r>
    <r>
      <rPr>
        <sz val="8"/>
        <color rgb="FF000000"/>
        <rFont val="Calibri"/>
        <family val="2"/>
        <scheme val="minor"/>
      </rPr>
      <t xml:space="preserve">Ya instalaron tuberías y drenajes; aún sin fundiciones, el proyecto se está ejecutando en buena forma, avance del 15%
</t>
    </r>
    <r>
      <rPr>
        <b/>
        <sz val="8"/>
        <color rgb="FF000000"/>
        <rFont val="Calibri"/>
        <family val="2"/>
        <scheme val="minor"/>
      </rPr>
      <t>2026-03--31.</t>
    </r>
    <r>
      <rPr>
        <sz val="8"/>
        <color rgb="FF000000"/>
        <rFont val="Calibri"/>
        <family val="2"/>
        <scheme val="minor"/>
      </rPr>
      <t xml:space="preserve"> El proyecto inicia su ejecución, con actividades de reconocimiento y excavación. se tiene un ejecutado del 3%
</t>
    </r>
    <r>
      <rPr>
        <b/>
        <sz val="8"/>
        <color rgb="FF000000"/>
        <rFont val="Calibri"/>
        <family val="2"/>
        <scheme val="minor"/>
      </rPr>
      <t xml:space="preserve">2026-03--25 </t>
    </r>
    <r>
      <rPr>
        <sz val="8"/>
        <color rgb="FF000000"/>
        <rFont val="Calibri"/>
        <family val="2"/>
        <scheme val="minor"/>
      </rPr>
      <t xml:space="preserve">El proyecto retomara el inicio esta semana con obras de excavación, segun se informa se tiene todo listo para iniciar el proyecto.
</t>
    </r>
    <r>
      <rPr>
        <b/>
        <sz val="8"/>
        <color rgb="FF000000"/>
        <rFont val="Calibri"/>
        <family val="2"/>
        <scheme val="minor"/>
      </rPr>
      <t>2026-03-17.</t>
    </r>
    <r>
      <rPr>
        <sz val="8"/>
        <color rgb="FF000000"/>
        <rFont val="Calibri"/>
        <family val="2"/>
        <scheme val="minor"/>
      </rPr>
      <t xml:space="preserve"> Listo para iniciar ejecución, se preveé una prorroga.
</t>
    </r>
    <r>
      <rPr>
        <b/>
        <sz val="8"/>
        <color rgb="FF000000"/>
        <rFont val="Calibri"/>
        <family val="2"/>
        <scheme val="minor"/>
      </rPr>
      <t>2026-03-10</t>
    </r>
    <r>
      <rPr>
        <sz val="8"/>
        <color rgb="FF000000"/>
        <rFont val="Calibri"/>
        <family val="2"/>
        <scheme val="minor"/>
      </rPr>
      <t xml:space="preserve"> A la espera de comunicación de invias para empezar la ejecución del tramo, la interventoria solicita una prorroga del contrato.
</t>
    </r>
    <r>
      <rPr>
        <b/>
        <sz val="8"/>
        <color rgb="FF000000"/>
        <rFont val="Calibri"/>
        <family val="2"/>
        <scheme val="minor"/>
      </rPr>
      <t xml:space="preserve">2026-03-02. </t>
    </r>
    <r>
      <rPr>
        <sz val="8"/>
        <color rgb="FF000000"/>
        <rFont val="Calibri"/>
        <family val="2"/>
        <scheme val="minor"/>
      </rPr>
      <t xml:space="preserve">Se prevee una visita al sitio para resolver la ejecución del tramo para empezar la ejecución en marzo de 2026
</t>
    </r>
    <r>
      <rPr>
        <b/>
        <sz val="8"/>
        <color rgb="FF000000"/>
        <rFont val="Calibri"/>
        <family val="2"/>
        <scheme val="minor"/>
      </rPr>
      <t>2026-02-16</t>
    </r>
    <r>
      <rPr>
        <sz val="8"/>
        <color rgb="FF000000"/>
        <rFont val="Calibri"/>
        <family val="2"/>
        <scheme val="minor"/>
      </rPr>
      <t>. Contratista manifiesta que debido a replanteo en sitio,se ha solicitado a la interventoría considerar cambio de inicio y fin de la placa huella dentro del mismo tramo previamente aprobado.Gestión en manos de ACIZI</t>
    </r>
  </si>
  <si>
    <t>Tangua</t>
  </si>
  <si>
    <t>PRESENTA PROYECTO MEJORAMIENTO DE VIAS RURALES MEDIANTE PLACA HUELLA, EN LA VEREDA LA PALIZADA DEL RESGUARDO INDIGENA MONTAÑA DE FUEGO DEL MUNICIPIO DE TANGUA, NARIÑO.</t>
  </si>
  <si>
    <r>
      <rPr>
        <b/>
        <sz val="8"/>
        <color rgb="FF000000"/>
        <rFont val="Calibri"/>
        <family val="2"/>
        <scheme val="minor"/>
      </rPr>
      <t xml:space="preserve">2026-08-20 </t>
    </r>
    <r>
      <rPr>
        <sz val="8"/>
        <color rgb="FF000000"/>
        <rFont val="Calibri"/>
        <family val="2"/>
        <scheme val="minor"/>
      </rPr>
      <t xml:space="preserve">El proyecto avanza satisfactoriamente su liquidación le restan temas administrativos de actas parciales para su liquidación
</t>
    </r>
    <r>
      <rPr>
        <b/>
        <sz val="8"/>
        <color rgb="FF000000"/>
        <rFont val="Calibri"/>
        <family val="2"/>
        <scheme val="minor"/>
      </rPr>
      <t>2026-07-30</t>
    </r>
    <r>
      <rPr>
        <sz val="8"/>
        <color rgb="FF000000"/>
        <rFont val="Calibri"/>
        <family val="2"/>
        <scheme val="minor"/>
      </rPr>
      <t xml:space="preserve"> 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El proyecto logra su terminación fisica al 100% se espera la entrega de la documentación administrativa y liquidaci</t>
    </r>
    <r>
      <rPr>
        <b/>
        <sz val="8"/>
        <color rgb="FF000000"/>
        <rFont val="Calibri"/>
        <family val="2"/>
        <scheme val="minor"/>
      </rPr>
      <t xml:space="preserve">ón.
2026-03-10 </t>
    </r>
    <r>
      <rPr>
        <sz val="8"/>
        <color rgb="FF000000"/>
        <rFont val="Calibri"/>
        <family val="2"/>
        <scheme val="minor"/>
      </rPr>
      <t xml:space="preserve">Falta aprobaciones de PGIO.
</t>
    </r>
    <r>
      <rPr>
        <b/>
        <sz val="8"/>
        <color rgb="FF000000"/>
        <rFont val="Calibri"/>
        <family val="2"/>
        <scheme val="minor"/>
      </rPr>
      <t>2026-02-16.</t>
    </r>
    <r>
      <rPr>
        <sz val="8"/>
        <color rgb="FF000000"/>
        <rFont val="Calibri"/>
        <family val="2"/>
        <scheme val="minor"/>
      </rPr>
      <t xml:space="preserve">  En proceso de liquidación revisada por la interventoría</t>
    </r>
  </si>
  <si>
    <t>PRESENTA PROYECTO CONSTRUCCION DE PLACA HUELLA EN LA VEREDA PULLITOPAMBA DEL CABILDO INDIGENA DE JENOY EN EL MUNICIPIO DE PASTO EN EL DEPARTAMENTO DE NARIÑO.</t>
  </si>
  <si>
    <r>
      <rPr>
        <b/>
        <sz val="8"/>
        <color rgb="FF000000"/>
        <rFont val="Calibri"/>
        <family val="2"/>
        <scheme val="minor"/>
      </rPr>
      <t>2026-08-20</t>
    </r>
    <r>
      <rPr>
        <sz val="8"/>
        <color rgb="FF000000"/>
        <rFont val="Calibri"/>
        <family val="2"/>
        <scheme val="minor"/>
      </rPr>
      <t xml:space="preserve"> El proyecto avanza satisfactoriamente su liquidación le restan temas administrativos de actas parciales para su liquidación
</t>
    </r>
    <r>
      <rPr>
        <b/>
        <sz val="8"/>
        <color rgb="FF000000"/>
        <rFont val="Calibri"/>
        <family val="2"/>
        <scheme val="minor"/>
      </rPr>
      <t xml:space="preserve">2026-07-30 </t>
    </r>
    <r>
      <rPr>
        <sz val="8"/>
        <color rgb="FF000000"/>
        <rFont val="Calibri"/>
        <family val="2"/>
        <scheme val="minor"/>
      </rPr>
      <t>Los proyectos avanzan satisfactoriamente en su liquidación, puesto que ya quedaron claros los temas de los deducibles y la asociación se compromete a liquidar los proyectos antes de terminar el convenio que es el 24 de agosto de 2026</t>
    </r>
    <r>
      <rPr>
        <b/>
        <sz val="8"/>
        <color rgb="FF000000"/>
        <rFont val="Calibri"/>
        <family val="2"/>
        <scheme val="minor"/>
      </rPr>
      <t xml:space="preserve">.
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 xml:space="preserve">El proyecto logra su terminación fisica al 100% se espera la entrega de la documentación administrativa y liquidación.
</t>
    </r>
    <r>
      <rPr>
        <b/>
        <sz val="8"/>
        <color rgb="FF000000"/>
        <rFont val="Calibri"/>
        <family val="2"/>
        <scheme val="minor"/>
      </rPr>
      <t xml:space="preserve">2026-03-10 </t>
    </r>
    <r>
      <rPr>
        <sz val="8"/>
        <color rgb="FF000000"/>
        <rFont val="Calibri"/>
        <family val="2"/>
        <scheme val="minor"/>
      </rPr>
      <t>Falta aprobaciones de PGIO</t>
    </r>
    <r>
      <rPr>
        <b/>
        <sz val="8"/>
        <color rgb="FF000000"/>
        <rFont val="Calibri"/>
        <family val="2"/>
        <scheme val="minor"/>
      </rPr>
      <t>.
2026-02-16.</t>
    </r>
    <r>
      <rPr>
        <sz val="8"/>
        <color rgb="FF000000"/>
        <rFont val="Calibri"/>
        <family val="2"/>
        <scheme val="minor"/>
      </rPr>
      <t xml:space="preserve"> Se preve AV3 y entrega a la comunidad en febrero de 2026</t>
    </r>
  </si>
  <si>
    <t>Construcciòn de plca huella en el resguardo indigena de Chiles del municipio Cumbal Nariño</t>
  </si>
  <si>
    <r>
      <rPr>
        <b/>
        <sz val="8"/>
        <color rgb="FF000000"/>
        <rFont val="Calibri"/>
        <family val="2"/>
        <scheme val="minor"/>
      </rPr>
      <t xml:space="preserve">2026-08-20 </t>
    </r>
    <r>
      <rPr>
        <sz val="8"/>
        <color rgb="FF000000"/>
        <rFont val="Calibri"/>
        <family val="2"/>
        <scheme val="minor"/>
      </rPr>
      <t xml:space="preserve">El proyecto avanza satisfactoriamente su liquidación le restan temas administrativos de actas parciales para su liquidación
</t>
    </r>
    <r>
      <rPr>
        <b/>
        <sz val="8"/>
        <color rgb="FF000000"/>
        <rFont val="Calibri"/>
        <family val="2"/>
        <scheme val="minor"/>
      </rPr>
      <t xml:space="preserve">2026-07-30 </t>
    </r>
    <r>
      <rPr>
        <sz val="8"/>
        <color rgb="FF000000"/>
        <rFont val="Calibri"/>
        <family val="2"/>
        <scheme val="minor"/>
      </rPr>
      <t xml:space="preserve">Los proyectos avanzan satisfactoriamente en su liquidación, puesto que ya quedaron claros los temas de los deducibles y la asociación se compromete a liquidar los proyectos antes de terminar el convenio que es el 24 de agosto de 2026.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 xml:space="preserve"> El proyecto logra su terminación fisica al 100% se espera la entrega de la documentación administrativa y liquidación.
</t>
    </r>
    <r>
      <rPr>
        <b/>
        <sz val="8"/>
        <color rgb="FF000000"/>
        <rFont val="Calibri"/>
        <family val="2"/>
        <scheme val="minor"/>
      </rPr>
      <t>2026-03-10</t>
    </r>
    <r>
      <rPr>
        <sz val="8"/>
        <color rgb="FF000000"/>
        <rFont val="Calibri"/>
        <family val="2"/>
        <scheme val="minor"/>
      </rPr>
      <t xml:space="preserve"> Falta aprobaciones de PGIO.
</t>
    </r>
    <r>
      <rPr>
        <b/>
        <sz val="8"/>
        <color rgb="FF000000"/>
        <rFont val="Calibri"/>
        <family val="2"/>
        <scheme val="minor"/>
      </rPr>
      <t xml:space="preserve">2026-02-16. </t>
    </r>
    <r>
      <rPr>
        <sz val="8"/>
        <color rgb="FF000000"/>
        <rFont val="Calibri"/>
        <family val="2"/>
        <scheme val="minor"/>
      </rPr>
      <t xml:space="preserve"> En proceso de liquidación revisada por la interventoría</t>
    </r>
  </si>
  <si>
    <t>Construcciòn de una placa huella en el sector Paja Blanca Muesmueran Alto- del resguardo indigena de Males</t>
  </si>
  <si>
    <r>
      <rPr>
        <b/>
        <sz val="8"/>
        <color rgb="FF000000"/>
        <rFont val="Calibri"/>
        <family val="2"/>
        <scheme val="minor"/>
      </rPr>
      <t xml:space="preserve">2026-08-20 </t>
    </r>
    <r>
      <rPr>
        <sz val="8"/>
        <color rgb="FF000000"/>
        <rFont val="Calibri"/>
        <family val="2"/>
        <scheme val="minor"/>
      </rPr>
      <t xml:space="preserve">El proyecto se encuentra listo en temas de documentación para su liquidación
</t>
    </r>
    <r>
      <rPr>
        <b/>
        <sz val="8"/>
        <color rgb="FF000000"/>
        <rFont val="Calibri"/>
        <family val="2"/>
        <scheme val="minor"/>
      </rPr>
      <t>2026-07-30</t>
    </r>
    <r>
      <rPr>
        <sz val="8"/>
        <color rgb="FF000000"/>
        <rFont val="Calibri"/>
        <family val="2"/>
        <scheme val="minor"/>
      </rPr>
      <t xml:space="preserve"> Los proyectos avanzan satisfactoriamente en su liquidación, puesto que ya quedaron claros los temas de los deducibles y la asociación se compromete a liquidar los proyectos antes de terminar el convenio que es el 24 de agosto de 2026.</t>
    </r>
    <r>
      <rPr>
        <sz val="8"/>
        <color rgb="FFFF0000"/>
        <rFont val="Calibri"/>
        <family val="2"/>
        <scheme val="minor"/>
      </rPr>
      <t xml:space="preserve"> (Este proyecto ya cumple con toda la documentación aprobada por interventoria para suscribir su acta de liquidación, falta el hito del último pago del 10% que se realizará cuando se realice el proximo comité fiduciario y se liquida el proyecto)
</t>
    </r>
    <r>
      <rPr>
        <b/>
        <sz val="8"/>
        <color rgb="FF000000"/>
        <rFont val="Calibri"/>
        <family val="2"/>
        <scheme val="minor"/>
      </rPr>
      <t xml:space="preserve">2026-06-17 Los proyectos presentan inconvenientes con temas de liquidación por deducibles con la fiducia, se les pide cumplir un cronograma antes de la fecha de terminación del convenio; cumplirlo para terminar satisfactoriamente el convenio, se espera se puedan liquidar la mayoria hasta el 30 de junio. ALERTA.
2026-03-31.  </t>
    </r>
    <r>
      <rPr>
        <sz val="8"/>
        <color rgb="FF000000"/>
        <rFont val="Calibri"/>
        <family val="2"/>
        <scheme val="minor"/>
      </rPr>
      <t xml:space="preserve">El proyecto logra su terminación fisica al 100% se espera la entrega de la documentación administrativa y liquidación.
</t>
    </r>
    <r>
      <rPr>
        <b/>
        <sz val="8"/>
        <color rgb="FF000000"/>
        <rFont val="Calibri"/>
        <family val="2"/>
        <scheme val="minor"/>
      </rPr>
      <t>2026-03-10</t>
    </r>
    <r>
      <rPr>
        <sz val="8"/>
        <color rgb="FF000000"/>
        <rFont val="Calibri"/>
        <family val="2"/>
        <scheme val="minor"/>
      </rPr>
      <t xml:space="preserve"> Falta aprobaciones de PGIO.
</t>
    </r>
    <r>
      <rPr>
        <b/>
        <sz val="8"/>
        <color rgb="FF000000"/>
        <rFont val="Calibri"/>
        <family val="2"/>
        <scheme val="minor"/>
      </rPr>
      <t xml:space="preserve">2026-02-16.  </t>
    </r>
    <r>
      <rPr>
        <sz val="8"/>
        <color rgb="FF000000"/>
        <rFont val="Calibri"/>
        <family val="2"/>
        <scheme val="minor"/>
      </rPr>
      <t>En proceso de liquidación revisada por la interventoría</t>
    </r>
  </si>
  <si>
    <t>BARICHARA</t>
  </si>
  <si>
    <t xml:space="preserve">Construcción de placa huellas en las veredas Salitre, Lubigara, y Caucho del municipio de Barichara Santander </t>
  </si>
  <si>
    <t>Acandí</t>
  </si>
  <si>
    <t xml:space="preserve">Mejoramiento de  Viviendas: 35 </t>
  </si>
  <si>
    <t>Proceso para la contratación de obra publicado en SECOP II, Proceso para la contratación de interventoría pendiente de publicación en SECOP II</t>
  </si>
  <si>
    <t>2026-07-31 Proceso para la contratación de obra publicado en SECOP II, Proceso para la contratación de interventoría pendiente de publicación en SECOP II
2026-06-30 Procesos para la contratación de la obra publicado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18 de  marzo de 2026.
2026-02-16. Se realizó envío de oficio de radicado No. S-2026-10000-019960, por presunto incumpliminto contractual de ENterritorio.</t>
  </si>
  <si>
    <t>MISTRATÓ</t>
  </si>
  <si>
    <t xml:space="preserve"> Casa Comunitaria</t>
  </si>
  <si>
    <t>Construcción de una caseta comunitaria o una Maloka</t>
  </si>
  <si>
    <t>En contratación directa de obra y pendiente publicación de Interventoría en SECOP II</t>
  </si>
  <si>
    <t>2026-07-31 Procesos para la contratación de obra e interventoría pendientes de Publicación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29 de mayo y 01 de junio de 2026 , respectivamente.
2026-02-16. Se realizó envío de oficio de radicado No. S-2026-10000-019960, por presunto incumpliminto contractual de ENterritorio.</t>
  </si>
  <si>
    <t>PUEBLO RICO</t>
  </si>
  <si>
    <t>Construcción de una caseta comunitaria o una Maloka Pueblo Embera katio</t>
  </si>
  <si>
    <t>Procesos de obra e interventoría pendientes de Publicación en SECOP II</t>
  </si>
  <si>
    <t>2026-07-31 Procesos para la contratación de obra e interventoría pendientes de Publicación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02 de junio de 2026.
2026-02-16. Se realizó envío de oficio de radicado No. S-2026-10000-019960, por presunto incumpliminto contractual de ENterritorio.</t>
  </si>
  <si>
    <t>Plaza de mercado</t>
  </si>
  <si>
    <t>Plaza de mercado de el corregimiento de El Plateado</t>
  </si>
  <si>
    <t>Adjudicados proceso de Contrato de Obra e Interventoría - Pendiente firma de contratos e inicio de obra.</t>
  </si>
  <si>
    <t xml:space="preserve">2026-07-31 Contratos de obra e interventoría pendientes por firma de acta de inicio.
2026-06-30 Contratos de obra e interventoría pendientes por firma de acta de inicio.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
</t>
  </si>
  <si>
    <t>Mejoramiento de  Viviendas en el corregimiento de El Plateado: 200</t>
  </si>
  <si>
    <t xml:space="preserve">2026-07-31 Procesos para la contratación de obra e interventoría, pendientes por publicar en SECOP II
2026-06-30 Procesos para la contratación de obra e interventoría, pendientes por publicar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
</t>
  </si>
  <si>
    <t>VILLAGARZÓN</t>
  </si>
  <si>
    <t>Estudios y diseños para la construcción de la casa cabildo Resguardo Indígena Yocorobé Bajo Santa Helena. adecuación de la caseta comunal ( y dotación cambio de pisos ampliación de la casa mejoramiento de cubierta mejoramiento bateria sanitaria elaboracion de tarima construccion de bodega construccion de cocina y comedor</t>
  </si>
  <si>
    <t>2026-07-31 Procesos para la contratación de obra e interventoría, pendientes por publicar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2026-04-13 Se continúa a la espera de publicaciones de procesos contractuales de consultoría e interventoría por parte de Enterritorio, teniendo en cuenta el compromiso adquido por la presidencia de esa entidad en el marco de la gerencia integral.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t>
  </si>
  <si>
    <t>Bajo Baudó</t>
  </si>
  <si>
    <t xml:space="preserve">Mejoramiento de  Viviendas: 180 </t>
  </si>
  <si>
    <t>2026-07-31 Procesos para la contratación de obra e interventoría, pendientes por publicar en SECOP II
2026-06-30 Procesos para la contratación de obra e interventoría, pendientes por publicar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18 de  marzo de 2026.
2026-02-16. Se realizó envío de oficio de radicado No. S-2026-10000-019960, por presunto incumpliminto contractual de ENterritorio.</t>
  </si>
  <si>
    <t>Casa Ancestral</t>
  </si>
  <si>
    <t>Casa Ancestral de pensamiento (Awá)</t>
  </si>
  <si>
    <t>2026-07-31 Procesos para la contratación de obra e interventoría, pendientes por publicar en SECOP II
2026-06-30 Procesos para la contratación de obra e interventoría pendientes de Publicación en SECOP II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16 de  marzo de 2026.
2026-02-16. Se realizó envío de oficio de radicado No. S-2026-10000-019960, por presunto incumpliminto contractual de ENterritorio.</t>
  </si>
  <si>
    <t>MILÁN</t>
  </si>
  <si>
    <t>Centro de Transformación Productiva</t>
  </si>
  <si>
    <t>Construcción Del Centro De Transformación Avícola Y Piscícola En El Corregimiento De San Isidro, Municipio Del Rio Quito - Chocó</t>
  </si>
  <si>
    <t>2026-07-31 Procesos para la contratación de obra e interventoría, pendientes por publicar en SECOP II
2026-06-30 Procesos para la contratación de obra e interventoría, pendientes por publicar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t>
  </si>
  <si>
    <t>BOGOTÁ, D.C.</t>
  </si>
  <si>
    <t>Exploratorio Nacional</t>
  </si>
  <si>
    <t xml:space="preserve">2026-07-31 Procesos para la contratación de obra e interventoría, pendientes por publicar en SECOP II
2026-06-30 Procesos para la contratación de obra e interventoría pendientes de Publicación en SECOP II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
</t>
  </si>
  <si>
    <t>GR BOGOTÁ D.C</t>
  </si>
  <si>
    <t>BOGOTÁ D.C</t>
  </si>
  <si>
    <t>GOBERNACIONES</t>
  </si>
  <si>
    <t>ANGELICA MARIA PECHA GARZON</t>
  </si>
  <si>
    <t>915-FIP-2024</t>
  </si>
  <si>
    <t>CHOACHÍ</t>
  </si>
  <si>
    <t>Aunar esfuerzos técnicos, administrativos y financieros, entre el DEPARTAMENTO ADMINISTRATIVO PARA LA PROSPERIDAD SOCIAL – FONDO INVERSIÓN PARA LA PAZ y  el INSTITUTO DE INFRAESTRUCTURA Y CONCESIONES DE CUNDINAMARCA ICCU y el municpio de CHOACHI CUNDINAMARCA , en adelante denonimado ENTIDAD TERRITORIAL,  para la ejecución de obras de infraestructura social vial, con el propósito de aportar a la inclusión socioeconómica, la superación de la pobreza, la consolidación de territorios y la generación de espacios comunitarios para la reintegración, estabilización y reconciliación social, de conformidad con el anexo técnico</t>
  </si>
  <si>
    <t>Adjudicado</t>
  </si>
  <si>
    <t>2026-08-19. El proyecto cuenta con acta de inicio del 27 de julio de 2026; sin embargo, no registra avance físico material y mantiene 0 % de ejecución. Se encuentra en trámite la suscripción de las actas de suspensión tanto del contrato de obra como de la interventoría.
2026-07-30. El proyecto no registra ejecución física. El contrato de obra suscribió acta de inicio el 27 de julio de 2026 y la interventoría fue reiniciada; sin embargo, no se reporta inicio material de actividades constructivas. La respuesta no precisa si las observaciones técnicas se encuentran completamente cerradas ni la fecha exacta de reinicio de la interventoría. La principal alerta se concentra en verificar el cierre técnico de los estudios y garantizar que el inicio formal de los contratos se traduzca oportunamente en ejecución física, evitando consumo de plazo sin avance de obra.
2026-07-17. El proyecto no ha iniciado ejecución física. El contrato de interventoría ICCU-CTO-311-2026, a cargo de INVELER Consultoría S.A.S., suscribió acta de inicio el 1 de julio de 2026; sin embargo, fue suspendido por veinte días calendario, hasta el 30 de julio de 2026 o hasta la suscripción del acta de inicio del contrato de obra. La suspensión se originó porque permanecen aspectos técnicos pendientes de definición con el municipio que impidieron el inicio simultáneo de la obra. La principal alerta corresponde a resolver oportunamente las observaciones técnicas y evitar que los plazos de obra e interventoría pierdan su correlación contractual
2026-07-09. Proyecto de vías urbanas con avance físico 0%. La interventoría fue adjudicada a Inveler Consultoría SAS y se encuentra en legalización; el inicio depende de requisitos contractuales, revisión técnica y aprobación de garantías.
2026-06-10. Se encuentra pendiente la remisión de las solicitudes de prórroga correspondientes, teniendo en cuenta que el convenio vence el 30 de junio de 2026. La prórroga del Convenio Marco No. 854-FIP-2024 se encuentra en flujo de aprobación en la plataforma SECOP II por parte del ICCU.
2026-05-19. Se adelanta la solicitud de prórroga del convenio marco y del Convenio 682-FIP-2025, correspondiente a interventoría, cuyos documentos deberán quedar radicados a más tardar el jueves. De igual manera, se gestionará con los municipios de los convenios derivados el inicio de las solicitudes de prórroga correspondientes. Respecto a la póliza de la adición del Convenio 682-FIP-2025, esta ya fue expedida; sin embargo, el ICCU se encuentra adelantando el trámite de pago, requisito indispensable para avanzar con su aprobación.
2026-05-12. En relación con el Convenio 682 —interventoría—, está pendiente el pago de la póliza, requisito necesario para su publicación en SECOP II junto con el soporte correspondiente y la continuidad del trámite contractual.
2026-05-04. En relación con el Convenio 682 (Interventoría), se encuentra en trámite el pago de la póliza, requisito necesario para su publicación en SECOP II junto con el respectivo soporte de pago y continuar con el trámite correspondiente.
2026-04-28, En relación con el Convenio 682-FIP-2025 (interventoría), el ICCU adquirió la póliza correspondiente; sin embargo, a la fecha no ha sido posible su publicación en SECOP II, dado que no se ha efectuado el pago de la misma. En consecuencia, no se ha podido adelantar el trámite de solicitud de aprobación de la póliza.
2026-04-21. El ICCU esta en los procesos de contratación de la interventoria, inicialmente tiene previstas las primeras adjudicaciones los primeros 10 días de mayo. Posterior a esto se realizarán los cronogramas de ejecución para proceder a prorrogar todos los convenios ya que vencen el 30 de junio.
2026-03-09. Actualmente se adelanta proceso de contratación de interventoría derivado por medio del convenio No 682 FIP 2025
2026-20-16. En proceso de contratación y adjudicación de la Interventoría (682 FIP 2025) para el proyecto derivado</t>
  </si>
  <si>
    <t>Mejoramiento de vias terciarias mediante la construcción de Placa Huella en las vías rurales del municipio de El Bagre - Antioquia</t>
  </si>
  <si>
    <t>Proceso de contratación de obra  Publicado en SECOP II, proceso para la contratación de la interventoría pediente de publicación sen SECOP II</t>
  </si>
  <si>
    <t xml:space="preserve">2026-07-31 Proceso de contratación de obra  Publicado en SECOP II, proceso para la contratación de la interventoría pediente de publicación sen SECOP II
2026-06-30 Proceso para la contratación de la interventoría pendiente de Publicación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
</t>
  </si>
  <si>
    <t>MOCOA</t>
  </si>
  <si>
    <t>No Viable –En predio reubicación de comunidad, atención de requisitos jurídicos y se requieren obras de contención.
El predio está afectado por una franja paralela de ronda hídrica con retiros, lo que impide cumplir con el área mínima requerida.                                                                                                                                                   2026-04-13 - En 2024 tras visita técnica de verificación de 3 predios posibles, se determinó que el lote ubicado en la vereda Planadas podía iniciar el proceso de viabilizarían y se solicitó al municipio la documentación necesaria a través de los oficios radicados No. 2202452012367,2202452013349 y 2202552014233. Sin embargo, el municipio no remitió la documentación en los plazos establecidos</t>
  </si>
  <si>
    <t>El Charco</t>
  </si>
  <si>
    <t xml:space="preserve">Construcción pavimentación cra 2 entre clls 5 y 6. Cll 5 entre cra 2 y 3 cra 3 entre clls 4 y 5 barrio Bustamante municipio de El Charco - Nariño </t>
  </si>
  <si>
    <t>Contrato de obra adjudicado
Proceso de interventoría publicado en SECOP II</t>
  </si>
  <si>
    <t>2026-07-31 Contrato de obra adjudicado, Proceso para la contratación de interventoría publicado en SECOP II
2026-06-30 Proceso de interventoria publicado en SECOP II pendiente de adjudicación.
2026-06-01 Se envío oficio S-2026-10000-077734 con Requerimiento urgente y advertencia frente a los reiterados retrasos en la estructuración, publicación y avance de procesos contractuales.
2026-05-11 Se han declarado desierto / fallidos los proyectos de:​ Malecón Suarez (Cauca) - Consultoría, Muelle Necoclí (Antioquia) - Interventoría​, Muelle Acandí (Chocó) - Interventoría​, Comedor Escolar María La Baja (Bolívar) - Obra e Interventoría, Pavimentación El Charco - Nariño - Interventoría​.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17 de  marzo de 2026.
2026-02-16. Se realizó envío de oficio de radicado No. S-2026-10000-019960, por presunto incumpliminto contractual de ENterritorio.</t>
  </si>
  <si>
    <t>Plaza de mercado de El Tambo</t>
  </si>
  <si>
    <t xml:space="preserve">2026-07-31 Procesos para la contratación de obra e interventoría, pendientes por publicar en SECOP II
2026-06-30 Procesos para la contratación de obra e interventoría, pendientes por publicar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
</t>
  </si>
  <si>
    <t>288-FIP-2025</t>
  </si>
  <si>
    <t>AUNAR ESFUERZOS TÉCNICOS, ADMINISTRATIVOS Y FINANCIEROS, ENTRE EL DEPARTAMENTO ADMINISTRATIVO PARA LA PROSPERIDAD SOCIAL – FONDO DE INVERSIÓN PARA LA PAZ - PROSPERIDAD SOCIAL – FIP, EL DEPARTAMENTO DEL HUILA Y EL MUNICIPIO DE RIVERA (H), PARA LA EJECUCIÓN DEL PROYECTO "MEJORAMIENTO DE VÍAS TERCIARIAS MEDIANTE LA CONSTRUCCIÓN DE PLACA HUELLA EN EL MUNICIPIO DE GARZÓN DEPARTAMENTO DEL HUILA"</t>
  </si>
  <si>
    <t>En proceso de contratación de interventoría y contrato de obra por parte de E.T.</t>
  </si>
  <si>
    <t>2026-08-19. El proyecto continúa por iniciar ejecución física, sin acta de inicio. Se encuentra a la espera de culminar la contratación de la interventoría y la legalización de los contratistas de obra. No se reportan alertas particulares y se estima el inicio de las obras en aproximadamente tres meses.
2026-07-31. El contrato de obra aún no ha sido suscrito ni legalizado y se encuentra en etapa de adjudicación. El proyecto permanece sin ejecución física. No se reportan alertas técnicas, prediales, presupuestales o administrativas particulares. El inicio depende de la formalización de la interventoría y del cumplimiento de los requisitos contractuales de obra.
2026-07-17. El contrato de obra derivado cuenta con acto de adjudicación y se encuentra pendiente de suscripción. No se reporta inicio de ejecución física. La continuidad depende de la firma y legalización del contrato, aprobación de garantías, disponibilidad de la interventoría y suscripción del acta de inicio. No se informó una alerta particular para el proyecto.
2026-07-09. Proyecto de vías rurales sin ejecución física, en etapa preconstructiva y de contratación derivada. La contratación de obra avanza dentro del paquete departamental, pero el inicio material depende de la interventoría 681-FIP-2025 y legalización de requisitos previos.
2026-06-10. Se realizó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</si>
  <si>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Villa del Rosario</t>
  </si>
  <si>
    <t xml:space="preserve">Construcción del centro policultural
</t>
  </si>
  <si>
    <t>Proceso de obra Publicado en SECOP II
Proceso de interventoría pendiente de Publicación en SECOP II</t>
  </si>
  <si>
    <t>2026-07-31 Proceso de obra publicado en SECOP II, proceso de interventoría pendiente de publicación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17 de  marzo de 2026.
2026-02-16. Se realizó envío de oficio de radicado No. S-2026-10000-019960, por presunto incumpliminto contractual de ENterritorio.</t>
  </si>
  <si>
    <t>914-FIP-2024</t>
  </si>
  <si>
    <t>GUTIÉRREZ</t>
  </si>
  <si>
    <t>AUNAR ESFUERZOS TÉCNICOS, ADMINISTRATIVOS Y FINANCIEROS, ENTRE PROSPERIDAD SOCIAL–FONDO DE INVERSIÓN PARA LA PAZ, INSTITUTO DE INFRAESTRUCT. Y CONCESIONES DDE C/MARCA (ICCU) Y EL MUN. DE GUTIERREZ, PARA LA EJEC. DE OBRAS DE INFRAESTRUCT. SOCIAL PRODUCTIVA</t>
  </si>
  <si>
    <t>2026-08-19. El proyecto permanece por iniciar ejecución física, con 0 % de avance. Continúa la subsanación del componente técnico y no se han suscrito actas de inicio de obra ni de interventoría. Posteriormente deberá evaluarse el alcance ajustado y la necesidad de mesa técnica para la reestructuración de la ficha del proyecto.
2026-07-30. El proyecto no ha iniciado ejecución física. El municipio presentó avances en la subsanación del componente arquitectónico y deberá continuar con las demás áreas técnicas. La interventoría se encuentra adjudicada, pero aún no cuenta con acta de inicio. No se dispone de una fecha estimada para el inicio de las obras. La principal alerta corresponde a completar la subsanación integral de los estudios y formalizar el inicio de la interventoría.
2026-07-17. El proyecto no ha iniciado ejecución física y continúa en mesas técnicas para el perfeccionamiento de los diseños. El contrato de interventoría ICCU-CTO-315-2026, a cargo del Consorcio Tessel, fue suscrito el 11 de junio de 2026, pero aún no cuenta con acta de inicio. El 1 de julio de 2026 se realizó la socialización del proyecto con la comunidad y una visita técnica al lote, con participación de la administración municipal, contratista de obra y supervisiones del ICCU y Prosperidad Social. La principal alerta corresponde a culminar la revisión técnica y formalizar el inicio de la interventoría y de la obra.
2026-07-09. Plaza de mercado con avance físico 0%. La interventoría fue adjudicada al Consorcio Tessel y se encuentra en legalización; persisten observaciones técnicas que deben subsanarse antes del inicio de obra.
2026-06-10. Se encuentra pendiente la remisión de las solicitudes de prórroga correspondientes, teniendo en cuenta que el convenio vence el 30 de junio de 2026. La prórroga del Convenio Marco No. 854-FIP-2024 se encuentra en flujo de aprobación en la plataforma SECOP II por parte del ICCU.
2026-05-19. Se adelanta la solicitud de prórroga del convenio marco y del Convenio 682-FIP-2025, correspondiente a interventoría, cuyos documentos deberán quedar radicados a más tardar el jueves. De igual manera, se gestionará con los municipios de los convenios derivados el inicio de las solicitudes de prórroga correspondientes. Respecto a la póliza de la adición del Convenio 682-FIP-2025, esta ya fue expedida; sin embargo, el ICCU se encuentra adelantando el trámite de pago, requisito indispensable para avanzar con su aprobación. Se realizó revisión del componente técnico de los convenios cuyo alcance contempla la construcción de infraestructura social, identificando que actualmente no cumplen con los requisitos de maduración Fase III. En consecuencia, se oficiará al ICCU para solicitar, en lo posible, el acompañamiento de la interventoría contratada en la revisión y fortalecimiento de este componente.
2026-05-12. En relación con el Convenio 682 —interventoría—, está pendiente el pago de la póliza, requisito necesario para su publicación en SECOP II junto con el soporte correspondiente y la continuidad del trámite contractual.
2026-05-04. En relación con el Convenio 682 (Interventoría), se encuentra en trámite el pago de la póliza, requisito necesario para su publicación en SECOP II junto con el respectivo soporte de pago y continuar con el trámite correspondiente.
2026-04-28, En relación con el Convenio 682-FIP-2025 (interventoría), el ICCU adquirió la póliza correspondiente; sin embargo, a la fecha no ha sido posible su publicación en SECOP II, dado que no se ha efectuado el pago de la misma. En consecuencia, no se ha podido adelantar el trámite de solicitud de aprobación de la póliza.
2026-04-21. Llegó requerimiento de la Contraloria de seguimiento y se programó reunión virtual para el 27/04/2026 a las 9 am.
En proceso de contratación y adjudicación de la Interventoría (682 FIP 2025) para el proyecto derivado</t>
  </si>
  <si>
    <t>278-FIP-2025</t>
  </si>
  <si>
    <t>ÍQUIRA</t>
  </si>
  <si>
    <t>AUNAR ESFUERZOS TÉCNICOS, ADMINISTRATIVOS Y FINANCIEROS, ENTRE EL DEPARTAMENTO ADMINISTRATIVO PARA LA PROSPERIDAD SOCIAL – FONDO DE INVERSIÓN PARA LA PAZ - PROSPERIDAD SOCIAL – FIP, EL DEPARTAMENTO DEL HUILA Y EL MUNICIPIO DE IQUIRA (H), PARA LA EJECUCIÓN DEL PROYECTO "MEJORAMIENTO DE VÍAS TERCIARIAS MEDIANTE LA CONSTRUCCIÓN DE PLACA HUELLA EN EL MUNICIPIO DE IQUIRÁ DEPARTAMENTO DEL HUILA</t>
  </si>
  <si>
    <t>2026-08-19. El proyecto continúa por iniciar ejecución física, sin acta de inicio. Permanece pendiente la culminación del proceso de contratación de la interventoría y la legalización de los contratistas que ejecutarán las obras. No se reportan situaciones particulares de alarma y se prevé el inicio en aproximadamente tres meses.
2026-07-31. El contrato de obra continúa en etapa de adjudicación y no ha sido suscrito ni legalizado. No se registra ejecución física. No se informaron alertas particulares; el inicio se producirá una vez se formalice la interventoría y se cumplan los requisitos de ejecución del contrato de obra.
2026-07-17. El contrato de obra derivado cuenta con acto de adjudicación y se encuentra pendiente de suscripción. El proyecto continúa sin ejecución física reportada, sujeto a la legalización contractual, aprobación de garantías, inicio de la interventoría y suscripción del acta de inicio. No se reportaron alertas específicas.
2026-07-09. Proyecto de vías rurales en fase previa a obra, con avance físico 0%. La alerta principal es sincronizar obra e interventoría para evitar adjudicaciones o inicios sin control técnico plenamente habilitado.
2026-06-10. Se realizó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</si>
  <si>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MURINDÓ</t>
  </si>
  <si>
    <t>No Viable luego de la ejecución de la Actividad 1 Estudios y Diseños.                                                                                                                      Proyecto iniciado en actividad 1. En el marco de esta actividad se identificó que el tipo de suelo de cimentación es muy pobre requiriendo obras complementarias que excederían por mucho el valor inicialmente estimado para el proyecto. Este aspecto hace inviable técnicamente su ejecución.</t>
  </si>
  <si>
    <t>Jamundí</t>
  </si>
  <si>
    <t>Centro de acopio</t>
  </si>
  <si>
    <t>Construcción de centro de acopio en la cabecera municipal  del municipio de Jamundí, Valle del Cauca.</t>
  </si>
  <si>
    <t>Procesos de obra e interventoría publicados en SECOP II</t>
  </si>
  <si>
    <t>2026-07-31 Procesos para la contratación de obra e interventoría, publicados en SECOP II
2026-06-30 Procesos para la contratación de obra e interventoría, publicados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17 de marzo de 2026.
2026-02-16. Se realizó envío de oficio de radicado No. S-2026-10000-019960, por presunto incumpliminto contractual de ENterritorio.</t>
  </si>
  <si>
    <t>284-FIP-2025</t>
  </si>
  <si>
    <t>LA PLATA</t>
  </si>
  <si>
    <t>AUNAR ESFUERZOS TÉCNICOS, ADMINISTRATIVOS Y FINANCIEROS, ENTRE EL DEPARTAMENTO ADMINISTRATIVO PARA LA PROSPERIDAD SOCIAL – FONDO DE INVERSIÓN PARA LA PAZ - PROSPERIDAD SOCIAL – FIP, EL DEPARTAMENTO DEL HUILA Y EL MUNICIPIO DE LA PLATA (H), PARA LA EJECUCIÓN DEL PROYECTO "MEJORAMIENTO DE VÍAS TERCIARIAS MEDIANTE LA CONSTRUCCIÓN DE PLACA HUELLA EN EL MUNICIPIO DE LA PLATA DEPARTAMENTO DEL HUILA"</t>
  </si>
  <si>
    <t>2026-08-19. El proyecto se mantiene por iniciar ejecución física y no cuenta con acta de inicio. El comienzo de las obras depende de la culminación de la contratación de la interventoría y de la legalización de los contratistas de obra. No se identifican alertas específicas; se estima inicio en aproximadamente tres meses.
2026-07-31. El contrato de obra aún no ha sido firmado ni legalizado y se encuentra en etapa de adjudicación. El proyecto se mantiene sin ejecución física. No se reportan alertas específicas. La fecha de inicio dependerá de la contratación de la interventoría y de la posterior formalización del contrato derivado.
2026-07-17. El contrato de obra derivado ya cuenta con acto de adjudicación; sin embargo, está pendiente la firma del contrato. No se registra ejecución física. El inicio depende del cumplimiento de los requisitos de ejecución, aprobación de garantías, disponibilidad de la interventoría y formalización del acta de inicio. No se informó una alerta particular.
2026-07-09. Proyecto de vías rurales con avance físico 0%, pendiente de superar la fase contractual previa. Se mantiene seguimiento a procesos de obra/interventoría, garantías y revisión técnica de estudios antes de autorizar ejecución.
2026-06-10. Se realizó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</si>
  <si>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López de Micay</t>
  </si>
  <si>
    <t>Plaza de mercado de López de Micay</t>
  </si>
  <si>
    <t>Procesos de obra e interventoría adjudicados, pendiente de acta de inicio</t>
  </si>
  <si>
    <t>2026-07-31 Contrato de obra adjudicado el 10 de junio de 2026, contrato de interventoria adjudicado el 17 de junio de 2026, pendeites de acta de inicio
2026-06-30 Contrato de obra adjudicado el 10 de junio de 2026, contrato de interventoria adjudicado el 17 de junio de 2026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17 de  marzo de 2026.
2026-02-16. Se realizó envío de oficio de radicado No. S-2026-10000-019960, por presunto incumpliminto contractual de ENterritorio.</t>
  </si>
  <si>
    <t>Nuquí</t>
  </si>
  <si>
    <t>Infraestructura Social</t>
  </si>
  <si>
    <t xml:space="preserve">EJECUCIÓN DE ACTIVIDADES PARA LA PUESTA EN FUNCIONAMIENTO DE LA RED DE MEDIA TENSIÓN EJECUTADAS BAJO EL CONTRATO DE OBRA No 2141407 CON EL FIN DE PONER EN FUNCIONAMIENTO LAS REDES ELÉCTRICAS EXISTENTES DEL TRAMO ARUSÍ, PARTADÓ Y TERMALES Y DEL TRAMO DE LA "Y" AL PUNTO DENOMINADO "CASA DE
MÁQUINAS" EN EL MUNICIPIO DE NUQUÍ DEPARTAMENTO DEL CHOCÓ”
</t>
  </si>
  <si>
    <t xml:space="preserve">2026-08-12: El contrato de Obra finalizó el 21 de junio de 2026 con un avance físico del 99,27% y financiero del 90%, habilitando funcionalmente los tramos de Arusí, Partadó y Termales, mientras que la exclusión del tramo La Y – Casa de Máquinas quedó técnica, presupuestal y socialmente justificada. No obstante, el cierre definitivo del Convenio permanece condicionado a la expedición de los dictámenes RETIE, a la definición de la ruta de entrega de activos frente a la objeción de AMBAR OCCIDENTE E.S.P., y a la formulación del Plan de Sostenibilidad y la Auditoría Visible No. 3, gestiones cuya atención oportuna resulta indispensable para garantizar la liquidación del proyecto conforme a los principios de planeación, eficiencia del recurso público y buena administración.                                                                                                                 2026-06-01                                                                                                                                                                                                    Aun se encuentra en revision la documentacion por parte de interventoria                                                                                                                         2026-05-25                                                                                                                                                             El proyecto se suspende; se contrato el operador que va a realizar la certificacion RETIE, se encuentra en revision de la totalidad de la docuemnetacion por parte de la interventoria y asi poder continuar con el proyecto.                                                                                                               2026-05-12                                                                                                                                                           Se esta subiendo informacion a la plataforma SGMO, con los hallazgos                                2026-04-28                                                                                                                                                           Se realizo visita de pertinencia al proyecto, se esta a la espera de informe                                2026-04-21                                                                                                                                                                                                 Los contratos de obra e interventoría reinician el 10/4/2026 y fueron prorrogados hasta el 21/05/2026.
Para el contrato de obra No, 2240298 se adiciona la suma de $1.069.813.200,91 y para el contrato de interventoría se adiciona la suma $79.616.136,34
Se realizan actividades civiles y eléctricas para lograr la terminación del proyecto.
 2026-04-06                                                                                                                                                                    Se prorroga la Suspensión No. 1 del Contrato 2240298 por el término UN (01) mes y QUINCE (15) días, contados a partir del 25 de febrero de 2026 hasta el 9 de abril de 2026, precisando que el referido contrato se reiniciará el día 10 de abril de 2026 o antes si se superan los motivos que dieron origen a la presente solicitud de suspensión. El contrato tiene pendiente doce (12) días por ejecutar, por lo que la nueva fecha de terminación del contrato será el 21 de abril de 2026.                                                                                                                                                             2026-02-16. 
1. Proyecto suspendido hasta el 25/02/2026 en atención a condiciones climáticas adversas que afectan el transporte de equipos..
2. Se gestiona prórroga y adición al proyecto, para la ejecución de los ítems no previstos de obra  por valor de $1.069.455.759, así como la mayor permanencia de la interventoría, para el acompañamiento, vigilancia y control de las actividades por valor de $79.616.137. ($ 1.149.071.896).
                   </t>
  </si>
  <si>
    <t>CONPES MOCOA, se estiman 159 intervenciones de  mejoramientos de viviendas</t>
  </si>
  <si>
    <t>2026-07-31 Contrato en ejecución con fecha de acta de inicio del 10 de junio de 2026
2026-06-30 Contrato en ejecución con fecha de acta de inicio del 10 de junio de 2026
2026-06-01 Se envío oficio S-2026-10000-077734 con Requerimiento urgente y advertencia frente a los reiterados retrasos en la estructuración, publicación y avance de procesos contractuales.
2026-04-13 Se avanza en la firma del acta de inicio del proyecto, se envió con fecha del viernes 10 de abril de 2026, la revisión a GIT de focalización el listado de posibles beneficiarios, teniendo en cuenta las observaciones sugeridas en las mesas de trabajo previas.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Contratos de obra e interventoría en proceso de suscripción, se adelantan tramites de revisión de hojas de vida y documentos requeridos para suscripción del acta de inicio, a la espera de la definición de la matriz de potenciales beneficiarios
2026-02-16. Se realizó envío de oficio de radicado No. S-2026-10000-019960, por presunto incumpliminto contractual de ENterritorio.</t>
  </si>
  <si>
    <t>OLAYA HERRERA</t>
  </si>
  <si>
    <t xml:space="preserve">2026-04-27 - No Viable - Presupuestal                                                                                                                                      
2026-04-20 - Sin Novedad
2026-04-13 - Sin Novedad                                                                                                                                      
2026-03-30 - Sin Novedad                                                                                                                                     
2026-03-24 - Sin Novedad                                                                                                                                    
2026-03-16 - Sin Novedad                                                                                                                                      
2026-03-10 - Sin Novedad                                                                                                                                    
2026-03-02 - Sin Novedad                                                                                                                                  
2026-02-23 - Sin Novedad                                                                                                                                                     </t>
  </si>
  <si>
    <t>919-FIP-2024</t>
  </si>
  <si>
    <t>GIRARDOT</t>
  </si>
  <si>
    <t>Centro día</t>
  </si>
  <si>
    <t>AUNAR ESFUERZOS TÉCNICOS, ADMINISTRATIVOS Y FINANCIEROS, ENTRE PROSPERIDAD SOCIAL–FONDO DE INVERSIÓN PARA LA PAZ, INSTITUTO DE INFRAESTRUCT. Y CONCESIONES DE C/MARCA (ICCU) Y EL MUN. DE GIRARDOT, PARA LA EJEC. DE OBRAS DE INFRAESTR. SOCIAL PRODUCTIVA</t>
  </si>
  <si>
    <t>2026-08-19. Los contratos de obra e interventoría continúan suspendidos y el proyecto mantiene 0 % de avance físico. Fueron remitidas las subsanaciones de los estudios técnicos para revisión de la interventoría y Prosperidad Social; posteriormente se prevé convocar mesa técnica para definir los ajustes y la reestructuración de la ficha de alcance del convenio.
2026-07-30. El proyecto no registra inicio de ejecución física. El municipio continúa subsanando las observaciones del componente arquitectónico; una vez cerradas, deberá avanzar con la revisión de las demás áreas técnicas. El contrato de obra suscribió acta de inicio el 19 de junio de 2026 y fue suspendido el 16 de julio de 2026. La interventoría también fue iniciada y posteriormente suspendida. La principal alerta es técnica y de plazo, debido a que los contratos comenzaron a consumir su programación contractual sin que se hubiera cerrado la revisión de los estudios y sin que se iniciara materialmente la obra.
2026-07-17. El proyecto no ha iniciado ejecución física. El contrato de interventoría ICCU-CTO-312-2026, a cargo de la Compañía Consultora Colombiana Triple C S.A.S. – BIC, cuenta con acta de inicio del 17 de junio de 2026. La interventoría adelanta mesas de trabajo para revisar, perfeccionar y ajustar los diseños entregados por el municipio; no obstante, aún no se cuenta con diseños definitivos. Se evalúa la posibilidad de suspender la interventoría para evitar que su plazo continúe ejecutándose sin que exista obra sobre la cual ejercer control. La principal alerta se concentra en el cierre técnico de los diseños y en la adecuada correlación de los plazos de obra e interventoría.
2026-07-09. Centro Día con avance físico 0%, bajo el Marco 854-FIP-2024. El seguimiento reporta interventoría adjudicada/en legalización y observaciones técnicas/sociales pendientes; alerta por subsanación antes de inicio de obra.
2026-06-10. Se encuentra pendiente la remisión de las solicitudes de prórroga correspondientes, teniendo en cuenta que el convenio vence el 30 de junio de 2026. La prórroga del Convenio Marco No. 854-FIP-2024 se encuentra en flujo de aprobación en la plataforma SECOP II por parte del ICCU.
2026-05-19. Se adelanta la solicitud de prórroga del convenio marco y del Convenio 682-FIP-2025, correspondiente a interventoría, cuyos documentos deberán quedar radicados a más tardar el jueves. De igual manera, se gestionará con los municipios de los convenios derivados el inicio de las solicitudes de prórroga correspondientes. Respecto a la póliza de la adición del Convenio 682-FIP-2025, esta ya fue expedida; sin embargo, el ICCU se encuentra adelantando el trámite de pago, requisito indispensable para avanzar con su aprobación. Se realizó revisión del componente técnico de los convenios cuyo alcance contempla la construcción de infraestructura social, identificando que actualmente no cumplen con los requisitos de maduración Fase III. En consecuencia, se oficiará al ICCU para solicitar, en lo posible, el acompañamiento de la interventoría contratada en la revisión y fortalecimiento de este componente.
2026-05-12. En relación con el Convenio 682 —interventoría—, está pendiente el pago de la póliza, requisito necesario para su publicación en SECOP II junto con el soporte correspondiente y la continuidad del trámite contractual.
2026-05-04. En relación con el Convenio 682 (Interventoría), se encuentra en trámite el pago de la póliza, requisito necesario para su publicación en SECOP II junto con el respectivo soporte de pago y continuar con el trámite correspondiente.
2026-04-28, En relación con el Convenio 682-FIP-2025 (interventoría), el ICCU adquirió la póliza correspondiente; sin embargo, a la fecha no ha sido posible su publicación en SECOP II, dado que no se ha efectuado el pago de la misma. En consecuencia, no se ha podido adelantar el trámite de solicitud de aprobación de la póliza.
2026-04-21. El ICCU esta en los procesos de contratación de la interventoria, inicialmente tiene previstas las primeras adjudicaciones los primeros 10 días de mayo. Posterior a esto se realizarán los cronogramas de ejecución para proceder a prorrogar todos los convenios ya que vencen el 30 de junio.
2026-03-09. Actualmente se adelanta proceso de contratación de interventoría derivado por medio del convenio No 682 FIP 2025
En proceso de contratación y adjudicación de la Interventoría (682 FIP 2025) para el proyecto derivado</t>
  </si>
  <si>
    <t>OVEJAS</t>
  </si>
  <si>
    <t xml:space="preserve">No Viable – Predio bajo el control de la SAE, no se dispone de información jurídica requerida y no se dispone de mas predios
El predio propuesto inicialmente por el municipio se encontraba en proceso de titulación; no se aportó la información solicitada, correspondiente a las escrituras y al certificado de tradición y libertad. </t>
  </si>
  <si>
    <t>PALERMO</t>
  </si>
  <si>
    <t>916-FIP-2024</t>
  </si>
  <si>
    <t>YACOPÍ</t>
  </si>
  <si>
    <t>Centro vida</t>
  </si>
  <si>
    <t>AUNAR ESFUERZOS TÉCNICOS, ADMINISTRATIVOS Y FINANCIEROS, ENTRE PROSPERIDAD SOCIAL–FONDO DE INVERSIÓN PARA LA PAZ, INSTITUTO DE INFRAESTRUCT. Y CONCESIONES DE C/MARCA (ICCU) Y EL MUN. DE YACOPI, PARA LA EJEC. DE OBRAS DE INFRAESTRUCT. SOCIAL PRODUCTIVA</t>
  </si>
  <si>
    <t>2026-08-19. El proyecto continúa por iniciar ejecución física, con 0 % de avance. Se adelanta la subsanación de los estudios técnicos y no cuenta con acta de inicio de obra ni de interventoría. Finalizada la revisión deberá definirse si los ajustes implican modificación del alcance y reestructuración de la ficha mediante mesa técnica.
2026-07-30. El proyecto no ha iniciado ejecución física. El municipio subsanó las observaciones correspondientes al componente arquitectónico e inició la atención de las observaciones de las demás áreas técnicas. La interventoría se encuentra adjudicada, pero todavía no cuenta con acta de inicio. No se dispone de fecha estimada para el inicio de obra. La principal alerta se concentra en concluir la revisión integral de los estudios y formalizar el inicio de la interventoría.
2026-07-17. El proyecto no ha iniciado ejecución física. El contrato de interventoría ICCU-CTO-313-2026, adjudicado a PC Interventores S.A.S., no cuenta con acta de inicio. Continúan las mesas de trabajo para el perfeccionamiento y ajuste de los diseños entregados por el municipio, encontrándose pendiente la revisión y aprobación de uno de los profesionales requeridos. La principal alerta técnica y administrativa corresponde a culminar la validación de los diseños y requisitos contractuales para habilitar el inicio coordinado de obra e interventoría.
2026-07-09. Centro Vida con avance físico 0%. La interventoría fue adjudicada el 6 de mayo de 2026, pero los estudios presentan observaciones técnicas; no es viable iniciar obra hasta subsanación y legalización contractual.
2026-06-10. Se encuentra pendiente la remisión de las solicitudes de prórroga correspondientes, teniendo en cuenta que el convenio vence el 30 de junio de 2026. La prórroga del Convenio Marco No. 854-FIP-2024 se encuentra en flujo de aprobación en la plataforma SECOP II por parte del ICCU.
2026-05-19. Se adelanta la solicitud de prórroga del convenio marco y del Convenio 682-FIP-2025, correspondiente a interventoría, cuyos documentos deberán quedar radicados a más tardar el jueves. De igual manera, se gestionará con los municipios de los convenios derivados el inicio de las solicitudes de prórroga correspondientes. Respecto a la póliza de la adición del Convenio 682-FIP-2025, esta ya fue expedida; sin embargo, el ICCU se encuentra adelantando el trámite de pago, requisito indispensable para avanzar con su aprobación. Se realizó revisión del componente técnico de los convenios cuyo alcance contempla la construcción de infraestructura social, identificando que actualmente no cumplen con los requisitos de maduración Fase III. En consecuencia, se oficiará al ICCU para solicitar, en lo posible, el acompañamiento de la interventoría contratada en la revisión y fortalecimiento de este componente.
2026-05-12. En relación con el Convenio 682 —interventoría—, está pendiente el pago de la póliza, requisito necesario para su publicación en SECOP II junto con el soporte correspondiente y la continuidad del trámite contractual.
2026-05-04. En relación con el Convenio 682 (Interventoría), se encuentra en trámite el pago de la póliza, requisito necesario para su publicación en SECOP II junto con el respectivo soporte de pago y continuar con el trámite correspondiente.
2026-04-28, En relación con el Convenio 682-FIP-2025 (interventoría), el ICCU adquirió la póliza correspondiente; sin embargo, a la fecha no ha sido posible su publicación en SECOP II, dado que no se ha efectuado el pago de la misma. En consecuencia, no se ha podido adelantar el trámite de solicitud de aprobación de la póliza.
2026-04-21. El ICCU esta en los procesos de contratación de la interventoria, inicialmente tiene previstas las primeras adjudicaciones los primeros 10 días de mayo. Posterior a esto se realizarán los cronogramas de ejecución para proceder a prorrogar todos los convenios ya que vencen el 30 de junio.
2026-03-09. Actualmente se adelanta proceso de contratación de interventoría derivado por medio del convenio No 682 FIP 2025
En proceso de contratación y adjudicación de la Interventoría (682 FIP 2025) para el proyecto derivado</t>
  </si>
  <si>
    <t>Construcción y mejora del embarcadero para plaza de mercado móvil de la vereda de las marías municipio de Olaya herrera – Nariño</t>
  </si>
  <si>
    <t>2026-07-31 Procesos para la contratación de obra e interventoría, pendientes por publicar en SECOP II
2026-06-30 Procesos para la contratación de obra e interventoría, pendientes por publicar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Se evalúa la posibilidad de incluir consultoría al proceso de Obra, se publicará en el mes de mayo de 2026.
2026-02-16. Se realizó envío de oficio de radicado No. S-2026-10000-019960, por presunto incumpliminto contractual de ENterritorio.</t>
  </si>
  <si>
    <t>LIBORINA</t>
  </si>
  <si>
    <t>282-FIP-2025</t>
  </si>
  <si>
    <t>OPORAPA</t>
  </si>
  <si>
    <t>AUNAR ESFUERZOS TÉCNICOS, ADMINISTRATIVOS Y FINANCIEROS, ENTRE EL DEPARTAMENTO ADMINISTRATIVO PARA LA PROSPERIDAD SOCIAL – FONDO DE INVERSIÓN PARA LA PAZ - PROSPERIDAD SOCIAL – FIP, EL DEPARTAMENTO DEL HUILA Y EL MUNICIPIO DE OPORAPA (H), PARA LA EJECUCIÓN DEL PROYECTO "CONSTRUCCIÓN DE PAVIMENTO EN CONCRETO RIGIDO UBICADO EN EL PERIMETRO DEL PARQUE PRINCIPAL DEL CENTRO POBLADO SAN ROQUE AREA RURAL DEL MUNICIPIO DE OPORAPA HUILA</t>
  </si>
  <si>
    <t>2026-08-19. El proyecto continúa por iniciar ejecución física, sin acta de inicio. Se adelanta la etapa contractual previa al inicio, pendiente de culminar la contratación de la interventoría y la legalización de los contratistas de obra. No se reportan alertas particulares y se proyecta iniciar en aproximadamente tres meses.
2026-07-31. El contrato de obra permanece en etapa de adjudicación, sin suscripción ni legalización. No se ha iniciado ejecución física. No se informan alertas particulares; el inicio está condicionado a la formalización del contrato de interventoría y de los requisitos previos de obra.
2026-07-17. El contrato de obra derivado cuenta con acto de adjudicación y se encuentra pendiente de suscripción y legalización. El proyecto permanece sin ejecución física reportada. Las actividades de obra podrán iniciar una vez se aprueben las garantías, se encuentre operativa la interventoría y se suscriba el acta de inicio. No se reportaron alertas específicas.
2026-07-09. Proyecto de vías urbanas sin inicio físico de obra. La prioridad es asegurar interventoría legalizada, revisión final de soportes técnicos y cumplimiento de requisitos para iniciar sin riesgo de desarticulación contractual.
2026-06-10. Se encuentra pendiente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2026-03-18. Se agruparon los proyectos en grupos por tipología, dejando por separado proyectos de pavimento urbano con proyectos de pavimento rural. Se encuentra en proceso de contratación para la interventoría. Se encuentra en proceso de aprobación de pólizas por parte de Contratos.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</si>
  <si>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285-FIP-2025</t>
  </si>
  <si>
    <t>PAICOL</t>
  </si>
  <si>
    <t>AUNAR ESFUERZOS TÉCNICOS, ADMINISTRATIVOS Y FINANCIEROS, ENTRE EL DEPARTAMENTO ADMINISTRATIVO PARA LA PROSPERIDAD SOCIAL – FONDO DE INVERSIÓN PARA LA PAZ - PROSPERIDAD SOCIAL – FIP, EL DEPARTAMENTO DEL HUILA Y EL MUNICIPIO DE PAICOL (H), PARA LA EJECUCIÓN DEL PROYECTO "MEJORAMIENTO DE VÍAS TERCIARIAS MEDIANTE LA CONSTRUCCIÓN DE PLACA HUELLA EN EL MUNICIPIO DE PAICOL DEPARTAMENTO DEL HUILA</t>
  </si>
  <si>
    <t>2026-08-19. El proyecto permanece por iniciar ejecución física, sin acta de inicio. Continúan las gestiones para culminar la contratación de la interventoría y legalizar a los contratistas encargados de las obras. No se reportan situaciones de alarma y el inicio se estima en aproximadamente tres meses.
2026-07-31. El contrato de obra no ha sido suscrito ni legalizado y continúa en etapa de adjudicación. El proyecto no registra avance físico. No se reportan alertas técnicas, administrativas, financieras, jurídicas o sociales particulares. El inicio dependerá de la contratación de la interventoría y de la formalización contractual de la obra.
2026-07-17. El proceso de obra cuenta con acto de adjudicación, encontrándose pendiente la firma del contrato. No se reporta ejecución física. El inicio está condicionado a la legalización del contrato, aprobación de garantías, inicio de la interventoría y suscripción del acta correspondiente. No se indicó una alerta particular para el proyecto.
2026-07-09. Proyecto de vías rurales con avance físico 0%, en alistamiento contractual dentro del paquete Huila. El seguimiento debe concentrarse en interventoría, aprobación de garantías y oportunidad del inicio de obra frente al plazo vigente.
2026-06-10. Se encuentra pendiente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</si>
  <si>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283-FIP-2025</t>
  </si>
  <si>
    <t>AUNAR ESFUERZOS TÉCNICOS, ADMINISTRATIVOS Y FINANCIEROS, ENTRE EL DEPARTAMENTO ADMINISTRATIVO PARA LA PROSPERIDAD SOCIAL – FONDO DE INVERSIÓN PARA LA PAZ - PROSPERIDAD SOCIAL – FIP, EL DEPARTAMENTO DEL HUILA Y EL MUNICIPIO DE PALERMO (H), PARA LA EJECUCIÓN DEL PROYECTO "PAVIMENTACIÓN DE VÍAS URBANAS EN CONCRETO RIGIDO EN EL BARRIO JULIAN POLANIA DEL MUNICIPIO DE PALERMO, HUILA</t>
  </si>
  <si>
    <t>2026-08-19. El proyecto continúa por iniciar ejecución física y no registra acta de inicio. Su ejecución está condicionada a la culminación de la contratación de la interventoría y a la legalización de los contratistas de obra. No se presentan alertas particulares y se prevé iniciar en aproximadamente tres meses.
2026-07-31. El contrato de obra se encuentra en etapa de adjudicación y aún no ha sido firmado ni legalizado. No existe ejecución física reportada. No se identifican alertas particulares. La activación del proyecto está supeditada a la formalización de la interventoría y al cumplimiento de los requisitos contractuales.
2026-07-17. El contrato de obra derivado cuenta con acto de adjudicación y está pendiente de suscripción. El proyecto se mantiene sin ejecución física reportada. La ruta inmediata comprende firma y legalización contractual, aprobación de garantías, disponibilidad de la interventoría y formalización del acta de inicio. No se reportaron alertas específicas.
2026-07-09. Proyecto de vías rurales/urbanas en fase de contratación y legalización previa, sin ejecución física. La alerta consiste en contar con control técnico de interventoría antes de autorizar actividades en campo.
2026-06-10. Se realizó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</si>
  <si>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281-FIP-2025</t>
  </si>
  <si>
    <t>PALESTINA</t>
  </si>
  <si>
    <t>AUNAR ESFUERZOS TÉCNICOS, ADMINISTRATIVOS Y FINANCIEROS, ENTRE EL DEPARTAMENTO ADMINISTRATIVO PARA LA PROSPERIDAD SOCIAL – FONDO DE INVERSIÓN PARA LA PAZ - PROSPERIDAD SOCIAL – FIP, EL DEPARTAMENTO DEL HUILA Y EL MUNICIPIO DE PALESTINA (H), PARA LA EJECUCIÓN DEL PROYECTO "PAVIMENTACION DE LA RED TERCIARIA EN ZONA RURAL MEDIANTE EL SISTEMA DE PLACA HUELLA EN EL MUNICIPIO DE PALESTINA HUILA</t>
  </si>
  <si>
    <t>2026-08-19. El proyecto se encuentra por iniciar ejecución física, sin acta de inicio. Se mantiene pendiente culminar la contratación de la interventoría y la legalización de los contratistas de obra. No se reportan alertas específicas y se estima el inicio de ejecución en aproximadamente tres meses.
2026-07-31. El contrato de obra continúa sin suscripción ni legalización y se encuentra en etapa de adjudicación. El avance físico permanece en 0%. No se reportaron alertas específicas. El inicio se dará una vez se formalice la contratación de la interventoría y se perfeccione el contrato de obra.
2026-07-17. El contrato de obra derivado ya fue adjudicado y se encuentra pendiente de firma. No se registra inicio de ejecución física. La ejecución está condicionada al cumplimiento de los requisitos contractuales, aprobación de garantías, inicio de la interventoría y suscripción del acta de inicio. No se informó una alerta particular.
2026-07-09. Proyecto de vías rurales con avance físico 0%, pendiente de inicio material. La gestión se enfoca en habilitar contratación derivada, interventoría, garantías y revisión técnica para evitar retrasos frente al cronograma del Convenio Marco 847-FIP-2024.
2026-06-10. Se encuentra pendiente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2026-03-18. Se agruparon los proyectos en grupos por tipología, dejando por separado proyectos de pavimento urbano con proyectos de pavimento rural. Se encuentra en proceso de contratación para la interventoría. Se encuentra en proceso de aprobación de pólizas por parte de Contratos.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</si>
  <si>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330-DPS-2025</t>
  </si>
  <si>
    <t>TERMINACIÓN "CONSTRUCCIÓN DE LA PLAZA DE MERCADO EN EL CASCO URBANO MUNICIPIO DE PIEDRAS - TOLIMA" DEL CONVENIO INICIAL # 473-FIP-2021, ID PROYECTO # 11642</t>
  </si>
  <si>
    <t>2026-05-19. Pendientes algunos documentos de la liquidación del convenio inicial como acta de recibo final. Pendiente cierre financiero.
2026-04-28. Resultado de las mesas técnico-Jurídica se determinó ruta de Subsanación de condiciones para liquidación del convenio interadministrativo.
2026-04-14. Se radicó documentación para liquidación bilateral; paralelamente continúa el proceso de presunto incumplimiento con traslado a aseguradora. Programada reunión (17/04) para definir tasación de perjuicios y cuantificación. 
2026-03-09. Proyecto se encuentra en etapa de diagnóstico por parte de E.T. con el objetivo de conocer el estado actual de la obra.
2025-02-16. Se plantea la realización de visita técnica para diagnóstico y pertinencia.</t>
  </si>
  <si>
    <t>Paz de Ariporo</t>
  </si>
  <si>
    <t>Construcción Plaza de mercado</t>
  </si>
  <si>
    <t>Pendiente definir adición con recursos de regalías municipales así como del DPS, procesos de obra e interventoría pendientes de publicación en SECOP II</t>
  </si>
  <si>
    <t xml:space="preserve">2026-07-31 Procesos para la contratación de obra e interventoría, pendientes por publicar en SECOP II
2026-06-30 Procesos para la contratación de obra e interventoría, pendientes por publicar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
</t>
  </si>
  <si>
    <t>Placa huella Nabusimake</t>
  </si>
  <si>
    <t>Trámite con MinInterior sobre Consulta Previa. 
Procesos de obra  e interventoría pendiente por publicar en SECOP II</t>
  </si>
  <si>
    <t>2026-07-31 Procesos para la contratación de obra e interventoría  pendientes por publicar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t>
  </si>
  <si>
    <t>POLICARPA</t>
  </si>
  <si>
    <t>No Viable, obras de adecuación y contención en el lote.                                                                                                  El predio postulado se localiza en una zona rural que tiene una pendiente superior al 5%; adicionalmente, se observó que no se cuenta con vías de acceso y disponibilidad de servicios públicos que permitan la correcta operación de la infraestructura.</t>
  </si>
  <si>
    <t>Contratar Estudios, diseños y Construcción de muelle fluvial en el municipio de Necoclí - Antioquia</t>
  </si>
  <si>
    <t>Procesos para la contratación de obra e Interventoría publicados en SECOP II</t>
  </si>
  <si>
    <t xml:space="preserve">2026-07-31  Procesos de contratación de obra e interventoria publicado en SECOP II pendiente de adjudicación.
2026-06-01 Se envío oficio S-2026-10000-077734 con Requerimiento urgente y advertencia frente a los reiterados retrasos en la estructuración, publicación y avance de procesos contractuales.
2026-05-11 Se han declarado desierto / fallidos los proyectos de:​ Malecón Suarez (Cauca) - Consultoría, Muelle Necoclí (Antioquia) - Interventoría​, Muelle Acandí (Chocó) - Interventoría​, Comedor Escolar María La Baja (Bolívar) - Obra e Interventoría, Pavimentación El Charco - Nariño - Interventoría​.
2026-04-20 El proceso de interventoría fue declarado fallido el 31/03/2026 al no resultar ninguna oferta habilitada, el contratista de consultoría y obra, manifiesta la no continuidad del proceso de suscripcion del contrato debido a la no existencia de soporte jurídico, técnico o financiero y el cambio e la vigencia, en ese sentido el dia 06/04/2026 se publica en secop  el acta de no celebracion del contrato, los procesos de consultoria y obra y de interventoríase encuentran  en proceso para nueva publicación.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
</t>
  </si>
  <si>
    <t>Social Comunitario</t>
  </si>
  <si>
    <t>Estructuración del proyecto Puentes y Placa Huellas en los caminos intracomunitarios Buenavista - Puerto Silencio de los Resguardos Gonzaya (Buenavista) y Po Piyuya (Santa Cruz de Piñuña Blanco)</t>
  </si>
  <si>
    <t>2026-07-31 Procesos para la contratación de obra e interventoría pendientes por publicar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2026-04-13 Se continúa a la espera de publicaciones de procesos contractuales de consultoría e interventoría por parte de Enterritorio, teniendo en cuenta el compromiso adquido por la presidencia de esa entidad en el marco de la gerencia integral.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24de  marzo de 2026.
2026-02-16. Se realizó envío de oficio de radicado No. S-2026-10000-019960, por presunto incumpliminto contractual de ENterritorio.</t>
  </si>
  <si>
    <t>JORGE ORJUELA</t>
  </si>
  <si>
    <t>421-FIP-2021</t>
  </si>
  <si>
    <t>PRADO</t>
  </si>
  <si>
    <t>Mejoramiento Y Adecuación De La Plaza De Mercado Del Municipio De Prado - Tolima</t>
  </si>
  <si>
    <t>2026-05-11. La obra fue ejecutada al 100% y cuenta con AV3 suscrita el 5 de diciembre de 2025. Actualmente, se encuentra pendiente el trámite de pago por pasivo exigible, el cual está en gestión desde enero, sin que a la fecha se haya formalizado la resolución correspondiente. Adicionalmente, se encuentra pendiente que el municipio remita la liquidación del contrato de obra.</t>
  </si>
  <si>
    <t>Puerto Tejada</t>
  </si>
  <si>
    <t>Plaza de mercado de Puerto Tejada</t>
  </si>
  <si>
    <t>Adjudicados Contratos de Obra e Interventoría, en proceso de firma de acta de inicio</t>
  </si>
  <si>
    <t>2026-07-31 Contratos de obra e interventoría pendientes por firma de acta de inicio.
2026-06-30 Contratos de obra e interventoría pendientes por firma de acta de inicio.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A la fecha se adelantan acciones para la suscripción de las actas de inicio.
2026-02-16. Se realizó envío de oficio de radicado No. S-2026-10000-019960, por presunto incumpliminto contractual de ENterritorio.</t>
  </si>
  <si>
    <t>QUIBDÓ</t>
  </si>
  <si>
    <t>Mejoramiento de Viviendas: 40</t>
  </si>
  <si>
    <t>Proceso de obra  Publicado en SECOP II
Contrato de interventoría adjudicado</t>
  </si>
  <si>
    <t>2026-07-31 Procesos para la contratación de la obra publicado en SECOP II, contrato de interventoría adjudicado
2026-06-30 Procesos para la contratación de la obra publicado en SECOP II
2026-06-01 Se envío oficio S-2026-10000-077734 con Requerimiento urgente y advertencia frente a los reiterados retrasos en la estructuración, publicación y avance de procesos contractuales.
2026-04-20 Se realizo reunión en la alcaldía de Quibdó con el concejo comunitario de San Francisco de Ichó en la cual se acrodó el compromiso de suministrar el listado de possinbles beneficiarios para MCH y Unidades  Sanitarias, toda vez que el istado suministrado inicialmente por el municipio no estaba acorde con la acción vinculante del proyecto.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será publicado el 18 de  marzo de 2026. 
2026-02-16. Se realizó envío de oficio de radicado No. S-2026-10000-019960, por presunto incumpliminto contractual de ENterritorio.</t>
  </si>
  <si>
    <t xml:space="preserve">100 Unidades  sanitarias </t>
  </si>
  <si>
    <t>2026-07-31 Procesos para la contratación de la obra publicado en SECOP II, contrato de interventoría adjudicado
2026-06-30 Procesos para la contratación de la obra publicado en SECOP II
2026-06-01 Se envío oficio S-2026-10000-077734 con Requerimiento urgente y advertencia frente a los reiterados retrasos en la estructuración, publicación y avance de procesos contractuales.
2026-04-20 Se realizo reunión en la alcaldía de Quibdó con el concejo comunitario de San Francisco de Ichó en la cual se acrodó el compromiso de suministrar el listado de posibles beneficiarios para MCH y Unidades  Sanitarias, toda vez que el istado suministrado inicialmente por el municipio nos estaba acorde con la acción vinculante del proyecto.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será publicado el 18 de  marzo de 2026.
2026-02-16. Se realizó envío de oficio de radicado No. S-2026-10000-019960, por presunto incumpliminto contractual de ENterritorio.</t>
  </si>
  <si>
    <t>RIOHACHA</t>
  </si>
  <si>
    <t>Plaza de mercado de Riohacha</t>
  </si>
  <si>
    <t>2026-07-31 Se avanza en la revisión de los diseños de la plaza de mercado por parte de la interventoría, pendiente aprobación.
2026-06-30 Se avanza en la revisión de los diseños de la plaza de mercado por parte de la interventoría, pendiente aprobación.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se avanza con el proceso de acta de inicio, cntratos en revisión y aprobación de pólizas para posterior suscripción del contrato.
2026-02-16. Se realizó envío de oficio de radicado No. S-2026-10000-019960, por presunto incumpliminto contractual de ENterritorio.</t>
  </si>
  <si>
    <t>Riosucio</t>
  </si>
  <si>
    <t xml:space="preserve">Construcción de 70 Mejoramiento de Vivienda y el suministro e instalación de implementos de energías renovables. </t>
  </si>
  <si>
    <t>Proceso de interventoría pendiente de Publicación en SECOP II</t>
  </si>
  <si>
    <t>2026-07-31 Procesos para la contratación de obra publicado en SECOP II, proceso de interventoría pendiente por publicar
2026-06-30 Procesos para la contratación de obra publicado en SECOP II, proceso de interventoría pendiente por publicar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18 de  marzo de 2026.
2026-02-16. Se realizó envío de oficio de radicado No. S-2026-10000-019960, por presunto incumpliminto contractual de ENterritorio.</t>
  </si>
  <si>
    <t>287-FIP-2025</t>
  </si>
  <si>
    <t>RIVERA</t>
  </si>
  <si>
    <t>AUNAR ESFUERZOS TÉCNICOS, ADMINISTRATIVOS Y FINANCIEROS, ENTRE EL DEPARTAMENTO ADMINISTRATIVO PARA LA PROSPERIDAD SOCIAL – FONDO DE INVERSIÓN PARA LA PAZ - PROSPERIDAD SOCIAL – FIP, EL DEPARTAMENTO DEL HUILA Y EL MUNICIPIO DE RIVERA (H), PARA LA EJECUCIÓN DEL PROYECTO "MEJORAMIENTO DE VÍAS TERCIARIAS MEDIANTE LA CONSTRUCCIÓN DE PLACA HUELLA EN EL MUNICIPIO DE RIVERA DEPARTAMENTO DEL HUILA"</t>
  </si>
  <si>
    <t>2026-08-19. El proyecto permanece por iniciar ejecución física, sin acta de inicio. Continúa la etapa contractual previa al inicio de las obras, asociada a la contratación de la interventoría y legalización de los contratistas. No existen situaciones particulares de alarma y se proyecta iniciar en aproximadamente tres meses.
2026-07-31. El contrato de obra no ha sido suscrito ni legalizado y permanece en etapa de adjudicación. El proyecto continúa sin ejecución física. No se informaron alertas particulares; el inicio está condicionado a la formalización de la interventoría y de los requisitos de ejecución del contrato de obra.
2026-07-17. El contrato de obra derivado cuenta con acto de adjudicación y continúa pendiente de suscripción y legalización. El proyecto permanece sin ejecución física reportada. El inicio depende de la aprobación de garantías, disponibilidad de la interventoría y suscripción del acta de inicio. No se reportaron alertas específicas.
2026-07-09. Proyecto de vías rurales en etapa preconstructiva, sin obra iniciada. Se mantiene alerta por la necesidad de articular los procesos de obra con interventoría y cerrar requisitos técnicos, administrativos y contractuales antes del inicio.
2026-06-10. Se encuentra pendiente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</si>
  <si>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279-FIP-2025</t>
  </si>
  <si>
    <t>SALADOBLANCO</t>
  </si>
  <si>
    <t>AUNAR ESFUERZOS TÉCNICOS, ADMINISTRATIVOS Y FINANCIEROS, ENTRE EL DEPARTAMENTO ADMINISTRATIVO PARA LA PROSPERIDAD SOCIAL – FONDO DE INVERSIÓN PARA LA PAZ - PROSPERIDAD SOCIAL – FIP, EL DEPARTAMENTO DEL HUILA Y EL MUNICIPIO DE SALADOBLANCO (H), PARA LA EJECUCIÓN DEL PROYECTO "MEJORAMIENTO</t>
  </si>
  <si>
    <t>2026-08-19. El proyecto continúa por iniciar ejecución física y no cuenta con acta de inicio. Se encuentra pendiente la culminación de la contratación de la interventoría y la legalización de los contratistas de obra. No se reportan alertas diferenciadas y se prevé el inicio en aproximadamente tres meses.
2026-07-31. El contrato de obra permanece en etapa de adjudicación y aún no ha sido suscrito ni legalizado. No se registra ejecución física. No se reportan alertas específicas. La fecha de inicio dependerá de la contratación de la interventoría y del perfeccionamiento del contrato derivado.
2026-07-17. El contrato de obra derivado fue adjudicado y está pendiente de suscripción. No se reporta ejecución física. La siguiente etapa corresponde a la legalización contractual, aprobación de garantías, inicio del contrato de interventoría y formalización del acta de inicio. No se indicó una alerta particular para el proyecto.
2026-07-09. Proyecto de vías rurales con avance físico 0%, dentro del paquete de convenios derivados del Huila. La atención debe centrarse en contratación de obra/interventoría, legalización contractual y condiciones técnicas para inicio seguro.
2026-06-10. Se encuentra pendiente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2026-03-18. Se agruparon los proyectos en grupos por tipología, dejando por separado proyectos de pavimento urbano con proyectos de pavimento rural. Se encuentra en proceso de contratación para la interventoría. Se encuentra en proceso de aprobación de pólizas por parte de Contratos.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</si>
  <si>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Plaza de mercado de Tumaco</t>
  </si>
  <si>
    <t>Proceso para contrato de obra Publicado en SECOP II
Contrato de interventoría adjudicado</t>
  </si>
  <si>
    <t>2026-07-31 Proceso para contrato de obra Publicado en SECOP II, contrato de interventoría adjudicado
2026-06-30 Proceso para contrato de obra Publicado en SECOP II, contrato de interventoría adjudicado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 de obra será publicado nuevamente el 17 de  marzo de 2026, Interventoría actualmente adjudicada.
2026-02-16. Se realizó envío de oficio de radicado No. S-2026-10000-019960, por presunto incumpliminto contractual de ENterritorio.</t>
  </si>
  <si>
    <t>San Carlos</t>
  </si>
  <si>
    <t xml:space="preserve">CONSTRUCCIÓN DEL SISTEMA DE ALCANTARILLADO SANITARIO EN LA ZONA URBANA DEL MUNICIPIO SAN CARLOS CÓRDOBA
</t>
  </si>
  <si>
    <t xml:space="preserve">2026-08-12: el proyecto cuenta con certificación RETIE y energización definitiva de las dos estaciones de bombeo —EBAR (11 de mayo) y EEAR (10 de julio de 2026)—, superándose así la totalidad de las barreras eléctricas derivadas de la deuda del municipio de San Carlos con AFINIA. Con la entrega del Manual de Operación y Mantenimiento el 21 de julio de 2026, ENTerritorio S.A. cuenta con la totalidad de los soportes técnicos requeridos para suscribir el acta de entrega e iniciar la liquidación del Contrato de Obra No.2220656. Las únicas gestiones pendientes (elaboración del Plan de Sostenibilidad y programación de la Auditoría Visible No. 3 (AV3)) son de resorte exclusivo de Prosperidad Social, sin perjuicio del seguimiento independiente que deberá darse al hallazgo fiscal formulado por la Contraloría General de la República como consecuencia de la demora en la energización del proyecto.                                                                                               2026-06-01                                                                                                                                                  proyecto sin novedades                                                                                                                          2026-05-25                                                                                                                                                        El municipio realizo un acuerdo de pago con la empresa prestadora de servicio de energia, se esta a la espera de que se cumpla y pueda ser energizado el proyecto.                                                                                               2026-05-12                                                                                                                                                   Se convoco a mesa de trabajo el dia 12/05/2026, los participantes regional de cordoba, la empresa prestadora de servicio de energia, con la finalidad de llegar a un acuerdo o ver cual seria la ruta a seguir.                                                                                                                  2026-04-28                                                                                                                                                   Se continua con el tema de la empresa prestadora de servicio de energia (Afinia) a la cual se le adeuda unos recursos, este es un tema que se sale de las mano a la Entidad                                                2026-04-06                                                                                                                                                                                 Se recomienda concretar y formalizar el análisis jurídico, orientado a determinar la viabilidad de una entrega al municipio mediante la cual la responsabilidad de la energización quede formalmente a cargo del mismo, liberando al contrato de obra, con las garantías y condiciones que amparen jurídicamente a Prosperidad Social.                                                                                                          10/03/2026
1. En el Comité de Apoyo a la Supervisión del dia 09/03/2026, se propuso requerir al Municipio para que realice la recepción de las obras ya terminadas, toda vez que las entidades Prosperidad Social y Enterritorio, no tienen competencia para gestionar o asumir la deuda que el Municipio mantiene con la empresa prestadora del servicio de energía.
2. Se presentan fuertes lluvias e inundaciones en el departamento de Córdoba, por lo que AFINIA solicitó tiempo para continuar con el proceso, ya que se encuentran atendiendo la emergencia.
Prosperidad Social programó mesa de trabajo virtual para el 13 de febrero de 2026 con todos los interesados en la entrega del proyecto.
3. Se cuenta con certificación RETIE del proyecto, sin embargo, el municipio tiene una deuda con AFINIA, por lo que esta empresa no procede con la energización de la estación elevadora y la estación de bombeo. 
4. Proyecto terminado el 17 de junio de 2025.
</t>
  </si>
  <si>
    <t>San Diego</t>
  </si>
  <si>
    <t xml:space="preserve">Construcción De Pavimento Rígido En Diferentes Sectores Del Municipio De San Diego y en La Calle 5 Entre La Carrera 7 Y La Carrera 10, En El Corregimiento De Media Luna </t>
  </si>
  <si>
    <t xml:space="preserve">Proceso de obra e intreventría adjudicados, pendiente de firma de contrato y acta de inicio </t>
  </si>
  <si>
    <t>2026-07-31 Proceso de obra e intreventría adjudicados, pendiente de firma de contrato y acta de inicio 
2026-06-30 Proceso de interventoria publicado en SECOP II pendiente de adjudicación.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Contratos obra e interventoría en proceso de suscripción, se adelantan tramites de revisión de hojas de vida y documentos requeridos para suscripción del acta de inicio.
2026-02-16. Se realizó envío de oficio de radicado No. S-2026-10000-019960, por presunto incumpliminto contractual de ENterritorio.</t>
  </si>
  <si>
    <t>SANTA CRUZ DE MOMPOX</t>
  </si>
  <si>
    <t xml:space="preserve">CONPES  MOMPOX (MCH), se estiman 111 intervenciones de  mejoramientos de viviendas. </t>
  </si>
  <si>
    <t xml:space="preserve">Contrato de Obra Adjudicado -  Contrato de Interventoría Pendiente de Publicación en SECOP II </t>
  </si>
  <si>
    <t xml:space="preserve">2026-07-31 Obra adjudicada, proceso para la contratación de interventoría, pendiente por publicar en SECOP II
2026-06-30 Proceso para la contratación de interventoría, pendiente por publicar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
</t>
  </si>
  <si>
    <t>Placa huella, Adecuación camino de herradura
Estudios y diseños</t>
  </si>
  <si>
    <t>2026-07-31 Procesos para la contratación de obra e interventoría pendientes de Publicación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23 de  marzo de 2026.
2026-02-16. Se realizó envío de oficio de radicado No. S-2026-10000-019960, por presunto incumpliminto contractual de ENterritorio.</t>
  </si>
  <si>
    <t>677-FIP-2025</t>
  </si>
  <si>
    <t>SOACHA</t>
  </si>
  <si>
    <t>Aunar esfuerzos técnicos, administrativos y financieros de competencias entre el DEPARTAMENTO ADMINITRATIVO PARA LA PROSPERIDAD SOCIAL – FONDO DE INVERSIÓN PARA LA PAZ - FIP, EL INSTITUO DE CAMINOS Y CONTRUCCIONES DE CUNDINAMARCA ICCU y EL MUNICIPIO DE SOACHA - CUNDINAMARCA, para la ejecución de obras de infraestructura social, con el propósito de aportar a la inclusión socioeconómica, la superación de la pobreza, la consolidación de los territorios y la generación de espacios comunitarios para la reintegración, estabilización y reconciliación social.</t>
  </si>
  <si>
    <t>A espera de adición de recursos a convenio de interventoría</t>
  </si>
  <si>
    <t>2026-08-19. El proyecto continúa por iniciar ejecución física, con 0 % de avance. El municipio se encuentra gestionando el desembolso de recursos, cuya solicitud ha sido devuelta en dos oportunidades por incumplimiento de requisitos. A la fecha no se ha adjudicado el contrato de obra y el ICCU tampoco ha contratado la interventoría.
2026-07-30. El proyecto no ha iniciado ejecución física. Es el único de los seis proyectos que, según la actualización recibida, cuenta con los estudios técnicos aprobados. No obstante, la interventoría aún no ha sido contratada, por lo que no se cuenta con fecha estimada de inicio. La principal alerta es administrativa y contractual, debido a que la falta de interventoría impide avanzar hacia el inicio coordinado y controlado del contrato de obra.
2026-07-17. El proyecto no ha iniciado ejecución física y permanece en revisión técnica. A la fecha no se cuenta con contrato de interventoría adjudicado. El ICCU se encuentra estructurando los estudios y documentos previos para adelantar la contratación; sin embargo, este proceso depende de que el municipio de Soacha remita el cronograma contractual definitivo de la obra y realice la devolución de los recursos complementarios destinados a financiar la interventoría. La principal alerta es administrativa y financiera, dado que la contratación de la interventoría y el inicio del proyecto están condicionados al cumplimiento de estas gestiones por parte de la Entidad Territorial.
2026-07-09. Proyecto de vías urbanas con avance físico 0%. Tras varios procesos fallidos para póliza, esta fue aprobada el 10 de junio de 2026; persisten alertas por legalización plena, interventoría del esquema 682-FIP-2025 e inicio de contratación derivada.
2026-06-10. Con fecha 5 de junio de 2026, el municipio de Soacha remitió el recibo de pago de las pólizas que amparan el convenio. Actualmente, dichas pólizas se encuentran en trámite de revisión y aprobación por parte de la Oficina de Contratación. La prórroga del Convenio Marco No. 854-FIP-2024 se encuentra en flujo de aprobación en la plataforma SECOP II por parte del ICCU.
2026-05-19. Se adelanta la solicitud de prórroga del convenio marco y del Convenio 682-FIP-2025, correspondiente a interventoría, cuyos documentos deberán quedar radicados a más tardar el jueves. De igual manera, se gestionará con los municipios de los convenios derivados el inicio de las solicitudes de prórroga correspondientes. Respecto a la póliza de la adición del Convenio 682-FIP-2025, esta ya fue expedida; sin embargo, el ICCU se encuentra adelantando el trámite de pago, requisito indispensable para avanzar con su aprobación. Por otra parte el Municipio de Soacha en cumplimiento a las obligaciones del convenio 677-FIP-2025 allego la póliza pero aún no ha allegado el recibo de pago de la misma para continuar con el trámite de aprobación.
2026-05-12. El contrato para la adquisición de la póliza se encuentra en proceso de legalización. En relación con el Convenio 682 —interventoría—, está pendiente el pago de la póliza, requisito necesario para su publicación en SECOP II junto con el soporte correspondiente y la continuidad del trámite contractual.
2026-05-04. Se encuentra en legalización del contrato y demás para la adquisición de la póliza. En relación con el Convenio 682 (Interventoría), se encuentra en trámite el pago de la póliza, requisito necesario para su publicación en SECOP II junto con el respectivo soporte de pago y continuar con el trámite correspondiente.
2026-04-28. El municipio de Soacha publicó el informe de evaluación del proceso de mínima cuantía, en el cual se recomienda a la ordenadora del gasto la adjudicación del contrato para la adquisición de la póliza del convenio a la empresa Seguros del Estado, al ser la única propuesta habilitada dentro del proceso. En relación con el Convenio 682-FIP-2025 (interventoría), el ICCU adquirió la póliza correspondiente; sin embargo, a la fecha no ha sido posible su publicación en SECOP II, dado que no se ha efectuado el pago de la misma. En consecuencia, no se ha podido adelantar el trámite de solicitud de aprobación de la póliza.
2026-04-21. Se está pendiente de que alleguen póliza para solicitar desembolso de la reserva.
2026-03-09. Se realizó la adición del convenio 682-2025 para la interventoria. Ya se encuentra adjudicado el respectivo contrato de obra por parte de las ET. A la espera de la interventoria para dar inicio a la ejecución.
2026-02-16. Se está haciendo el proceso de adición al convenio de interventoría (682 FIP 2025) para incluir este proyecto derivado</t>
  </si>
  <si>
    <t xml:space="preserve">2026-08-25 - Continua en ejecución sin ningún inconveniente                                                                                                                                                            
2026-08-20 - Continua en ejecución sin ningún inconveniente                                                                                                                                                            
2026-07-30 - Continua en ejecución sin ningún inconveniente                                                                                                                                                            
2026-06-30 - Continua en ejecución sin ningún inconveniente                                                                                                                                                            
2026-06-22 - Continua en ejecución sin ningún inconveniente                                                                                                                                                            
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</si>
  <si>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SUÁREZ</t>
  </si>
  <si>
    <t>Placa huella vereda La Gelima - Yolombó</t>
  </si>
  <si>
    <t>Proceso para la contratación de obra publicado en SECOP II, proceso para la contratación de interventoría pendiente de publicación en SECOP II</t>
  </si>
  <si>
    <t>2026-07-31 Proceso para la contratación de obra publicado en SECOP II, proceso para la contratación de interventoría pendiente de publicación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19 de  marzo de 2026.
2026-02-16. Se realizó envío de oficio de radicado No. S-2026-10000-019960, por presunto incumpliminto contractual de ENterritorio.</t>
  </si>
  <si>
    <t>Contratar Estudios, diseños y Construcción de malecón</t>
  </si>
  <si>
    <t xml:space="preserve">Contrato de Interventoría Adjudicado -  Contrato de Consultoría declarado fallido </t>
  </si>
  <si>
    <t>2026-07-31 Proceso para la contratación de obra pendiente de Publicación en SECOP II
2026-06-30 Proceso para la contratación de obra pendiente de Publicación en SECOP II
2026-06-01 Se envío oficio S-2026-10000-077734 con Requerimiento urgente y advertencia frente a los reiterados retrasos en la estructuración, publicación y avance de procesos contractuales.
2026-05-11 Se han declarado desierto / fallidos los proyectos de:​ Malecón Suarez (Cauca) - Consultoría, Muelle Necoclí (Antioquia) - Interventoría​, Muelle Acandí (Chocó) - Interventoría​, Comedor Escolar María La Baja (Bolívar) - Obra e Interventoría, Pavimentación El Charco - Nariño - Interventoría​.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serán publicados el 17 de  marzo de 2026.
2026-02-16. Se realizó envío de oficio de radicado No. S-2026-10000-019960, por presunto incumpliminto contractual de ENterritorio.</t>
  </si>
  <si>
    <t>280-FIP-2025</t>
  </si>
  <si>
    <t>TERUEL</t>
  </si>
  <si>
    <t>AUNAR ESFUERZOS TÉCNICOS, ADMINISTRATIVOS Y FINANCIEROS, ENTRE EL DEPARTAMENTO ADMINISTRATIVO PARA LA PROSPERIDAD SOCIAL – FONDO DE INVERSIÓN PARA LA PAZ - PROSPERIDAD SOCIAL – FIP, EL DEPARTAMENTO DEL HUILA Y EL MUNICIPIO DE TERUEL (H), PARA LA EJECUCIÓN DEL PROYECTO "CONSTRUCCIÓN DE PAVIMENTO RIGIDO EN VIAS DE LA ZONA DE EXPANSIÓN URBANA DEL MUNICIPIO DE TERUEL DEPARTAMENTO DEL HUILA</t>
  </si>
  <si>
    <t>2026-08-19. El proyecto permanece por iniciar ejecución física, sin acta de inicio. Se adelantan las actuaciones contractuales previas, estando pendiente culminar la contratación de la interventoría y legalizar a los contratistas de obra. No se identifican alertas particulares y se estima el inicio en aproximadamente tres meses.
2026-07-31. El contrato de obra aún no ha sido firmado ni legalizado y se encuentra en etapa de adjudicación. No existe ejecución física reportada. No se identifican alertas particulares; el proyecto podrá iniciar una vez se formalice la contratación de la interventoría y se perfeccione el contrato de obra.
2026-07-17. El contrato de obra derivado ya cuenta con acto de adjudicación; se encuentra pendiente la suscripción y legalización contractual. No se registra ejecución física. La activación del proyecto depende de la aprobación de garantías, inicio de la interventoría y suscripción del acta de inicio. No se informó una alerta particular.
2026-07-09. Proyecto de vías urbanas en etapa previa a obra y sin avance físico. La alerta se concentra en la coordinación entre contratación de obra, interventoría, garantías y revisión técnica para evitar inicio sin soporte integral.
2026-06-10. Se realizó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</si>
  <si>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No Viable - intervención DPS</t>
  </si>
  <si>
    <t xml:space="preserve">20260223 - Sin Novedad                                                                                                                                                      20260302 - Sin Novedad                                                                                                                                                                  20260310 - No viable - intervencion DPS                                                                                                  2026-04-13 Prosperidad Social determinó la no continuidad del proyecto, al establecer que la entidad ya había destinado recursos para la ejecución de un proyecto de infraestructura de naturaleza similar (plaza de mercado) en el mismo municipio. En consecuencia, la ejecución del proyecto PAS habría generado una duplicidad en la inversión de recursos públicos, razón por la cual Prosperidad Social dispuso la exclusión del proyecto PAS en el municipio de Quibdó. </t>
  </si>
  <si>
    <t>CAROLINA ANDRADE</t>
  </si>
  <si>
    <t>REMEDIOS</t>
  </si>
  <si>
    <t>Predio no viable, para subsanar debe adecuar el lote, garantizar el acceso y verificar condiciones de sostenibilidad
El predio propuesto por el municipio de Remedios no se considera viable para la implantación del proyecto PAS debido a que presenta una pendiente superior al 50%, lo que implicaría movimientos de tierra que podrían desestabilizar los taludes y generar riesgos de deslizamientos, además de requerir obras de contención y manejo de aguas con alto impacto presupuestal. Adicionalmente, el predio carece de conexión inmediata a redes de alcantarillado, y los servicios de acueducto y energía se encuentran a 250 metros. Por estas razones, el 15 de enero de 2025 se emitió el formato de no viabilidad técnica por parte del profesional de Findeter que realizó la visita el 8 de octubre de 2024.</t>
  </si>
  <si>
    <t>286-FIP-2025</t>
  </si>
  <si>
    <t>TIMANÁ</t>
  </si>
  <si>
    <t>AUNAR ESFUERZOS TÉCNICOS, ADMINISTRATIVOS Y FINANCIEROS, ENTRE EL DEPARTAMENTO ADMINISTRATIVO PARA LA PROSPERIDAD SOCIAL – FONDO DE INVERSIÓN PARA LA PAZ - PROSPERIDAD SOCIAL – FIP, EL DEPARTAMENTO DEL HUILA Y EL MUNICIPIO DE TIMANA (H), PARA LA EJECUCIÓN DEL PROYECTO "MEJORAMIENTO DE VIAS TERCIARIAS MEDIANTE LA CONSTRUCCION DE PLACA HUELLA EN EL MUNICIPIO DE TIMANA, DEPARTAMENTO DEL HUILA"</t>
  </si>
  <si>
    <t>2026-08-19. El proyecto continúa por iniciar ejecución física y no registra acta de inicio. Permanece pendiente la culminación de la contratación de la interventoría y la legalización de los contratistas que desarrollarán las obras. No se reportan alertas específicas y se proyecta iniciar en aproximadamente tres meses.
2026-07-31. El contrato de obra no ha sido suscrito ni legalizado y continúa en etapa de adjudicación. El proyecto se mantiene sin ejecución física. No se reportan alertas técnicas, administrativas, jurídicas, financieras o sociales particulares. El inicio dependerá de la formalización de la interventoría y del cumplimiento de los requisitos de ejecución.
2026-07-17. El contrato de obra derivado cuenta con acto de adjudicación y está pendiente de firma. El proyecto se mantiene sin ejecución física reportada. El inicio depende del cumplimiento de los requisitos de ejecución, aprobación de garantías, disponibilidad de la interventoría y suscripción del acta de inicio. No se reportaron alertas específicas.
2026-07-09. Proyecto de vías rurales sin ejecución física. Continúa en fase preconstructiva/contractual del bloque Huila; se requiere cerrar legalización de interventoría y requisitos técnicos antes de autorizar obra.
2026-06-10. Se encuentra pendiente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2026-03-18. Se agruparon los proyectos en grupos por tipología, dejando por separado proyectos de pavimento urbano con proyectos de pavimento rural. Se encuentra en proceso de contratación para la interventoría. Se encuentra en proceso de aprobación de pólizas por parte de Contratos.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Entidad territorial entrego polizas de los convenios sin recibo de pago y clausulado. Se solcitó la compeltitud del docuemnto para su respectiva aprobacion por parte del Prosperidad Socal.</t>
  </si>
  <si>
    <t xml:space="preserve">Mejoramiento de  Viviendas: 14 </t>
  </si>
  <si>
    <t>2026-07-31 Procesos para la contratación de obra publicado en SECOP II, proceso de interventoría pendiente por publicar
2026-06-30 Procesos para la contratación de obra publicado en SECOP II, proceso de interventoría pendiente por publicar en SECOP II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18 de  marzo de 2026.
2026-02-16. Se realizó envío de oficio de radicado No. S-2026-10000-019960, por presunto incumpliminto contractual de ENterritorio.</t>
  </si>
  <si>
    <t>Diseño de ampliación y construcción del comedor escolar del corregimiento del Níspero</t>
  </si>
  <si>
    <t>Proceso para la contratación de interventoría publicado en SECOP II
Proceso de obra declarado fallido</t>
  </si>
  <si>
    <t xml:space="preserve">2026-06-30 Proceso para la contratación de obra pendiente de Publicación en SECOP II, proceso para la contratación de interventoría publicado en SECOP II
2026-06-30 Proceso para la contratación de obra pendiente de Publicación en SECOP II
2026-06-01 Se envío oficio S-2026-10000-077734 con Requerimiento urgente y advertencia frente a los reiterados retrasos en la estructuración, publicación y avance de procesos contractuales.
2026-05-11 Se han declarado desierto / fallidos los proyectos de:​ Malecón Suarez (Cauca) - Consultoría, Muelle Necoclí (Antioquia) - Interventoría​, Muelle Acandí (Chocó) - Interventoría​, Comedor Escolar María La Baja (Bolívar) - Obra e Interventoría, Pavimentación El Charco - Nariño - Interventoría​.
2026-04-20 Procesos de obra, consultoría e interventoría, publicados en SECOP II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24 de  marzo de 2026.
2026-02-16. Se realizó envío de oficio de radicado No. S-2026-10000-019960, por presunto incumpliminto contractual de ENterritorio.
</t>
  </si>
  <si>
    <t>Anapoima</t>
  </si>
  <si>
    <t>PUESTA EN FUNCIONAMIENTO DE ACOMETIDA ELÉCTRICA EN LA CONSTRUCCIÓN CENTRO DE ESCUELAS DE FORMACIÓN CULTURAL 
Y DEPORTIVA EN EL MUNICIPIO DE ANAPOIMA, CUNDINAMARCA FASE III, EN CUMPLIMIENTO RETIE</t>
  </si>
  <si>
    <t>ACTIVIDADES PRECONTRACTUALES</t>
  </si>
  <si>
    <t xml:space="preserve">2026-08-12: ENTerritorio S.A. señaló que espera reiniciar la ejecución el 7 de agosto de 2026, condicionado a la respuesta de CODENSA y a la etapa de diagnóstico; de no ser posible el reinicio en dicha fecha, se prorrogará la suspensión de los contratos.                                            2026-06-01                                                                                                                                                                        Se continua con la revision documental para darle inicio al proyecto.                                                                                           2026-05-25                                                                                                                                                     Se estima el inicio de las obras la primera semana del mes de junio, ya que se esta en gestiones docuemntales.                                                                                                                                                                                        2026-05-12                                                                                                                                                                                        Ya fue adjudicado los contratos de obra e interventoria, esta a la espera de la firma del acta de inicio del proyecto.                                                                                                                                2026-04-28                                                                                                                                                                                        Se continua con la formalizacion del proceso para dar inicio                                               2026-04-06                                                                                                                                                             S esta a la espera de la formalización del proceso contractual que adelanta ENTerritorio S.A y la fecha de inicio de la obra.                                                                                                                                                   2026-02-16. 
Se publicó el proceso de selección INA-073-2025 en SECOP2 el 16 de diciembre de 2025.
Se remitió a Prosperidad Social comunicado con radicado No. 202623010001051 de 26 de enero de 2026 donde se informó sobre la suspensión del proceso.
* Ya se dio la contratacion de las obras              </t>
  </si>
  <si>
    <t>CONTRATACIÓN DE LOS ESTUDIOS Y DISEÑOS, OPERACIÓN LOGÍSTICA DE MATERIALES HASTA MONTO AGOTABLE E INTERVENTORIA PARA EL PROYECTO DENOMINADO CONSTRUCCIÓN DE UN TRAMO DE LA VIA QUE CONDUCE DEL CORREGIMIENTO DE EL PLATEADO AL MUNICIPIO DE ARGELIA EN EL DEPARTAMENTO DEL CAUCA</t>
  </si>
  <si>
    <t xml:space="preserve">DERIVADO DE CONVENIO 1389-FIP-2024 CON EJÉRCITO NACIONAL (MIN DEFENSA)
2026-08-12: proyecto sin novedades                                                          2026-06-01                                                                                                                                                  proyecto sin novedades                                                                                                                                                                                                                           2026-05-25                                                                                                                                                                                                      Se está pendiente de que el consultor remita respuesta a la solicitud de complementación técnica frente a detalles de los disipadores de energía y del detalle del material de la capa de mejoramiento de 30 cm en los muros de contención, para remitir a Prosperidad Social.                                                              2026-05-12                                                                                                                                                       Se propone realizar mesas de trabajo cada 15 dias, para mayor apoyo al contrato, se realizo visita y se esta a la espera de la documentacion con las observaciones encontradas.
2026-04-28                                                                                                                                                       Se espera realizar visita al proyecto, para poder revisar el estado actual y verificar si la fecha propuesta para su terminacion si se puede cumplir; en este momento hay problemas con el orden publico por lo cual esta aun no se a programado                                                      2026-04-06                                                                                                                                                   Prosperidad Social informó que, en ejercicio de sus funciones de control sobre el Convenio Interadministrativo No. 1389-DPS-2024, ya había impartido instrucciones al Batallón de Ingenieros de Combate No. 3 'Coronel Agustín Codazzi' mediante el oficio S-2026-10000-023278 del dieciocho (18) de febrero de dos mil veintiséis (2026), exigiendo la consolidación del Plan de Intervención y el Plan de Necesidades en un único documento integral con alcance técnico definitivo, detalle cuantitativo exhaustivo y correspondencia con las obras aprobadas, de modo que ENTerritorio S.A. pudiera iniciar de inmediato los procesos de selección de operación logística e interventoría.                                                                                      2026-02-16. 
Se remitió a Prosperidad Social los estudios y diseños de los 2 tramos con radicado No. 202623010000191 de 08 de enero de 2026.
Mediante radicado No. 202623010001591 de 4 de febrero se remitió las aclaraciones al informe de Consultoría solicitadas por el Ejército Nacional. 
Se esta a la espera que Prosperidad Social entregue el plan de necesidades del ejercito nacional para continuar con las gestión de contratación del operador logístico e interventoría.
 </t>
  </si>
  <si>
    <t>CONVENIOS 2025</t>
  </si>
  <si>
    <t>378-FIP-2025</t>
  </si>
  <si>
    <t xml:space="preserve">Aunar esfuerzos técnicos, administrativos y financieros, entre el DEPARTAMENTO ADMINISTRATIVO PARA LA PROSPERIDAD SOCIAL- FONDO DE INVERSION PARA LA PAZ- FIP – FONDO DE INVERSIÓN PARA LA PAZ - PROSPERIDAD SOCIAL – FIP y EL MUNICIPIO DE SAN JUAN DEL CESAR (LA GUAJIRA) para la ejecución de obras de infraestructura social vial, con el propósito de aportar a la inclusión socioeconómica, la superación de la pobreza, la consolidación de territorios y la generación de espacios comunitarios para la reintegración, estabilización y reconciliación social. </t>
  </si>
  <si>
    <t>ETAPA PRECONTRACTUAL</t>
  </si>
  <si>
    <t>2026-08-25. El proyecto continúa sin novedades y con 0 % de avance físico. El desembolso aún no se ha efectuado; la solicitud por $8.268.101.884,18 fue radicada ante el GIT Cuentas por Pagar mediante memorando M-2026-40207-039633 del 17 de agosto de 2026, encontrándose actualmente en trámite para pago.
2026-08-19. El Otrosí No. 4 se encuentra formalizado y el Manual Operativo fue aprobado mediante Comité Fiduciario realizado el 13 de agosto de 2026. Se efectuó la solicitud de desembolso y se encontraban en curso los trámites internos correspondientes. A la fecha no se habían iniciado los procesos de contratación de obra e interventoría y el proyecto mantenía 0 % de avance físico.
2026-07-30. El Manual Operativo fue subsanado, pero continúa pendiente de aprobación. La aprobación se encuentra condicionada al trámite del Otrosí No. 4, cuya solicitud fue radicada ante la Oficina de Contratación el 29 de julio de 2026. La modificación busca ajustar la participación y las funciones de la interventoría contratada por la Entidad Territorial, así como los requisitos para el desembolso.
El municipio solicitó a la fiduciaria la convocatoria del Comité Fiduciario; sin embargo, todavía no se ha definido la fecha de realización. Una vez se formalice el Otrosí No. 4 y el comité apruebe el Manual Operativo, podrá presentarse la solicitud de desembolso. Los demás requisitos para el giro se encuentran cumplidos, según lo informado por el supervisor.
El cronograma de contratación fue reprogramado y actualmente prevé adelantar la contratación hacia el 10 de agosto de 2026, sujeto a la aprobación del Manual Operativo. A la fecha no se cuenta con adjudicación de los contratos derivados y el avance físico permanece en 0%.
No se ha recibido respuesta del componente social. La ficha cuenta con concepto favorable en los componentes técnico, de sostenibilidad y jurídico. La principal alerta es de carácter administrativo, contractual y financiero, debido a que el inicio del proyecto depende de la aprobación del Otrosí No. 4, la celebración del Comité Fiduciario, la aprobación del Manual Operativo y el posterior desembolso de los recursos.
2026-07-17. Fueron expedidos los registros presupuestales RP 167826, correspondiente a la adición de obra, y RP 167926, asociado a la adición de interventoría. El desembolso al esquema fiduciario continúa pendiente de la remisión y aprobación por Prosperidad Social del Manual Operativo subsanado; posteriormente, la Entidad Territorial deberá presentar la solicitud de desembolso. La contratación derivada de obra e interventoría se proyectaba para la semana del 27 de julio de 2026, por lo que el proyecto se mantiene sin inicio de ejecución física. No se reportan alertas técnicas, administrativas, jurídicas o financieras adicionales; sin embargo, permanece pendiente la revisión del componente social para la firma de la ficha de revisión documental.
2026-07-09. Proyecto vial urbano sin ejecución física. El Otrosí No. 2 prorrogó el convenio hasta el 31 de diciembre de 2027, adicionó recursos e incorporó la interventoría; siguen pendientes el RP, desembolso fiduciario, componente social y procesos de obra/interventoría.
2026-06-09. Se recibió por parte del ET minuta del encargo fiduciario firmada por las partes. Se espera que la fiduciaria remita el manual operativo y lo socialice. Se incluyeron nuevos CDPs en documento de solicitud modificación Otrosi 2, fue observado por abogado de contratos y subsanado por la supervisión, se solicitó al ET remitan antecedentes actualizados del alcalde para su radicación formal, estimada para esta semana. Se solicitó revisión de componentes social y jurídico de la ficha de revisión documental del proyecto, jurídica en proceso y social pendiente.
2026-05-19. Se continúa en el mismo estado de la semana anterior, se espera poder radicar documentación entre 20 y 21 de mayo.
2026-05-12. Se realizaron ajustes a las solicitudes de CDP, las cuales se encuentran actualmente en trámite. Adicionalmente, se coordinó con el abogado del área de Contratos, quien solicitó remitir una nueva solicitud de modificación al otrosí con ajustes específicos. Actualmente, se trabaja en la consolidación del documento para su posterior envío.
2026-05-04. El 30 de abril se llevó a cabo comité de contratación, en el cual se presentaron las solicitudes de modificación y adición, las cuales fueron aprobadas. No obstante, el área de Contratos quedó con el compromiso de realizar la revisión integral de los documentos soporte.
2026-04-27. El 27 de abril de 2026 se llevó a cabo reunión con las áreas de Contratos y Jurídica, en la cual se lograron avances significativos en la estructuración del documento de solicitud de ajuste. Durante la sesión se remitieron los soportes correspondientes, quedando dichas áreas con el compromiso de realizar su revisión y emitir observaciones o visto bueno en el transcurso del día. En caso de presentarse observaciones, se proyecta su subsanación de manera articulada con la Entidad Territorial entre el día de hoy y mañana; en caso contrario, se procederá a indicar a la Entidad Territorial la radicación formal de la solicitud ante Prosperidad Social, prevista entre mañana y pasado.
2026-04-21. En cuanto al componente técnico ya fue subsanado y el validador dijo que estaba OK, le falta generar el pdf de la ficha de revisión con favorabilidad alta, pero ya está bien. Respecto a lo jurídico se hizo meda de trabajo con el ET para que corrigieran el documento de solicitud de ajuste y montaran una presentación, el documento lo están trabajando, la presentación la enviaron ayer (20/04/2026) y está en revisión.
2026-04-14. Técnico: El municipio remitió las subsanaciones a las observaciones formuladas, las cuales se encuentran actualmente en   revisión por parte del equipo validador, a cargo del ingeniero Carlos Arteaga.
 Jurídico:se tiene el compromiso de dar una respuesta hoy desde contratos de manera informal, hay unas observaciones para que el  ET subsane
2026-03-09. El municipio envió nuevo cronograma en el que el 05 de marzo se publicó nuevo proceso licitatorio del encargo fiduciario, según información del municipio a mediados de abril se tiene ese encargo fiduciario contratado. Se han continuado en mesas de subsanación técnica en torno al desbalance de precios y cantidades, estas se realizan con el apoyo del equipo de validación y el apoyo técnico de la E.T. Se están desarrollnado mesas internas entre las diferentes áreas para establecer viabilidad jurídica para la adición de recursos al proyecto.
2026-02-16. Encargo fiduciario en etapa de contratación. Proyecto se ecuentra en ajuste de precios y cantidades, en evalucaicón de una posible adición.</t>
  </si>
  <si>
    <t>RIOSUCIO</t>
  </si>
  <si>
    <t>No Viable – Ratificaron su interés en continuar con el proyecto y se comprometieron ante Findeter y DPS cumplir con los compromisos jurídicos para tramita la viabilidad
2026-04-13 - El ente territorial no presentó la subsanación a las observaciones formuladas sobre la información inicialmente presentada. Adicionalmente, el predio presentó condiciones de inundabilidad.</t>
  </si>
  <si>
    <t>340-DPS-2025</t>
  </si>
  <si>
    <t>TERMINACIÓN "CONSTRUCCIÓN DE PLAZA DE MERCADO DEL MUNICIPIO DE ROBERTO PAYAN - NARIÑO" DEL CONVENIO INICIAL # 456-FIP-2021, ID PROYECTO # 11986</t>
  </si>
  <si>
    <t>2026-05-19. Pendiente por remitir documentación para iniciar proceso de liquidación.
2026-04-28. Resultado de las mesas técnico-Jurídica se determinó ruta de Subsanación de condiciones para liquidación del convenio interadministrativo.
2026-04-21. El jueves 16 de abril se realizó reunión técnico jurídica con tractual , contratos y supervisores para verificar ruta para tramitar pago pendiente.
2026-04-14. Pendiente definición de pasivo exigible. Limitante asociada a la no autorización de desembolsos por parte del Concejo Municipal. Se sugiere nueva mesa de análisis. 
2026-03-09. Proyecto se encuentra en etapa de diagnóstico por parte de E.T. con el objetivo de conocer el estado actual de la obra.
2025-02-16. Se plantea la realización de visita técnica para diagnóstico y pertinencia.</t>
  </si>
  <si>
    <t>683-FIP-2025</t>
  </si>
  <si>
    <t>Aunar esfuerzos técnicos, administrativos y financieros, entre el DEPARTAMENTO ADMINISTRATIVO PARA LA PROSPERIDAD SOCIAL- FONDO DE INVERSION PARA LA PAZ – FIP y EL MUNICIPIO DE CIENAGA DE ORO CÓRDOBA con el fin de brindar asistencia técnica y financiera para el desarrollo de infraestructura social, orientada a promover la inclusión socioeconómica, la superación de la pobreza, la consolidación y estabilización de los territorios, así como la reconciliación y la paz, con enfoque étnico y territorial de acuerdo con el proyecto establecido en el anexo 1.</t>
  </si>
  <si>
    <t>2026-08-19. No fue posible obtener una actualización técnica, financiera o contractual del convenio, debido a que la supervisora se encontraba recién reintegrada de vacaciones y manifestó requerir la semana para realizar empalme y validar la información con sus apoyos técnico, financiero y jurídico.
2026-07-09. Centro de Vida en maduración Fase III, sin ejecución física. Hay avances técnicos de fondo; persisten ajustes formales en redes contra incendio/presupuesto, aprobación del manual operativo, Comité Fiduciario, desembolso y contratación de obra e interventoría.
2026-06-10.. En revisión de subsanaciones realizadas por el Ente Territorial para continuar su preceso de maduración.
2026-05-12. El proyecto continúa en etapa de maduración.
2026-04-21. Ya se encuentra aprobada la parte estructural, sin embargo, aún se encuentra en proceso de validación del componente presupuestal. Se tiene como fecha de entrega de componentes faltlantes para el 28/04/2026, momento a partir del cuál el equipo de validación iniciará la nueva verificación. Por parte del equipo de validación no se tiene claridad del componente hidrosanitario porque no se cuenta con profesional especializado en dicha área, al igual que la de redes contra incendio.
2026-02-16. En proceso de maduración fase 3 por parte del equipo de validador. Pendiente que se asigne un validador del componente presupuestal. E.T. se encuentra en trámite de licitación pública para adjudicar la fiducia del proyecto. Se vence el 05 de marzo plazo para la validación.</t>
  </si>
  <si>
    <t>JULIO CESAR GONZALEZ</t>
  </si>
  <si>
    <t>684-FIP-2025</t>
  </si>
  <si>
    <t>SAN JUANITO</t>
  </si>
  <si>
    <t>Aunar esfuerzos técnicos, administrativos y financieros, entre el DEPARTAMENTO ADMINISTRATIVO PARA LA PROSPERIDAD SOCIAL- FONDO DE INVERSION PARA LA PAZ – FIP y EL MUNICIPIO DE San Juanito Meta con el fin de brindar asistencia técnica y financiera para el desarrollo de obras de infraestructura social vial, orientada a promover la inclusión socioeconómica, la superación de la pobreza, la consolidación y estabilización de los territorios, así como la reconciliación y la paz, de acuerdo con el proyecto establecido en el anexo 1.</t>
  </si>
  <si>
    <t>2026-08-25. El proyecto continúa con 0 % de avance físico. No se reportan novedades frente a la solicitud de modificación del convenio, radicada mediante memorando M-2026-40207-038808 del 11 de agosto, y se encuentra en trámite de firma una nueva radicación relacionada con el mismo requerimiento. Debido al proceso de empalme institucional, aún no se ha logrado inscribir en SIIF la cuenta aperturada por el municipio; adicionalmente, se cuenta con un borrador del Manual Operativo presentado al ente territorial para revisión y ajuste. La contratación de obra e interventoría permanece condicionada al desembolso al encargo fiduciario, el cual a su vez depende de la suscripción del Otrosí solicitado.
2026-08-19. El municipio aportó la documentación requerida y se radicó la solicitud de modificación del convenio con el valor final ajustado de la intervención. Se realizó la apertura de la cuenta para el traslado de recursos, la cual ya se encuentra inscrita en SIIF; adicionalmente, se gestiona la exención del 4 x 1000 y la versión final del manual operativo para el encargo fiduciario. La contratación de obra e interventoría permanece condicionada a la suscripción del Otrosí y al posterior desembolso de recursos al encargo fiduciario. El proyecto continúa con 0 % de avance físico.
2026-07-30. El municipio de San Juanito radicó la información actualizada para la propuesta de modificación del abscisado de la vía mediante radicado E-2026-20203-228307 del 21 de julio de 2026. Prosperidad Social inició la revisión, sin embargo, se evidenció que el repositorio aportado no contiene la totalidad de la documentación requerida, por lo que se solicitó a la Entidad Territorial completar los soportes faltantes.
En consecuencia, todavía no se encuentra cerrada la maduración Fase III ni se han definido de manera definitiva el alcance, el presupuesto actualizado y los ajustes que deberán incorporarse al convenio. La continuidad del trámite depende de la entrega completa de la información por parte del municipio y de las revisiones internas que deben adelantar los diferentes grupos de trabajo de Prosperidad Social.
No se cuenta con una fecha cierta para el desembolso. La situación y sus implicaciones fueron informadas a la Ordenación del Gasto mediante comunicación M-2026-40207-034156 del 21 de julio de 2026 y reiteradas en reunión realizada el 30 de julio. Aunque el convenio se encuentra vigente hasta el 31 de diciembre de 2026 y se proyecta radicar la solicitud de desembolso antes de octubre, se mantiene la alerta financiera y de plazo asociada al eventual fenecimiento de recursos, hasta que se complete la maduración Fase III y se habilite formalmente la ruta de desembolso y contratación derivada.
2026-07-17. El proyecto no presenta avances frente al último reporte. La alternativa técnica de trazado aún no ha sido radicada por el municipio de San Juanito, aunque se informó que sería presentada en la fecha. Debido a la modificación requerida del proyecto, no se ha iniciado una nueva revisión de maduración Fase III; este proceso solo podrá retomarse una vez la Entidad Territorial radique formalmente la alternativa ajustada y la documentación correspondiente.
En consecuencia, continúan pendientes la definición técnica del alcance, el cierre de la modificación presupuestal y la habilitación de la contratación derivada de obra e interventoría. Mediante memorando M-2026-40207-031913 del 6 de julio de 2026 se informó la situación a la Dirección de Infraestructura y Hábitat, incluyendo una alerta por el riesgo financiero de fenecimiento de recursos ante el incumplimiento del hito de maduración. El proyecto se mantiene sin ejecución física.
2026-07-09. Con avance físico 0% y maduración Fase III en trámite. La modificación presupuestal responde a ajustes técnicos por sobreanchos; permanecen alertas por definición contractual, fiducia y contratación derivada.
2026-06-10. Cambio de supervisión el 25/05/2026, el 27/05/2026 se realizó reunión de empalme con la ENTIDAD TERRITORIAL y nuevo supervisor del convenio.
El 29 de mayo de 2026 se radicó informe de supervisión a la Oficina de Contratos.
El 29 de mayo de 2026 se radicó documento de empalme al Ing. Julio Cesar Gonzalez.
2026-05-26. Continúa en proceso de maduración en la misma fase, se reporta cambio de supervisión del convenio y el día 27/05/2026 se realizará empalme. 
2026-05-19. Se encuentra pendiente una respuesta clara por parte de la Oficina de Contratos frente a las solicitudes y consultas elevadas desde la supervisión del convenio mediante los memorandos M-2025-4301-065750 del 03/12/2025, M-2026-4301-001837 del 19/01/2026, M-2026-40204-011594 del 13/03/2026, M-2026-40204-018725 del 23/04/2026 y M-2026-40204-021850 del 08/05/2026. Asimismo, se requiere que la Dirección de Infraestructura y Hábitat aclare y complemente el alcance del concepto de maduración fase III, incluyendo los componentes social, jurídico, financiero y demás aplicables. El 6 de mayo de 2026, la Entidad Territorial remitió solicitud de modificación del convenio, sustentada en el mayor valor aportado por el municipio para el proceso de maduración fase III y otros aspectos asociados. La supervisión realizó la revisión correspondiente y emitió observaciones el 13 de mayo de 2026. Adicionalmente, la fiducia manifestó vía telefónica un posible desistimiento, quedando pendiente la remisión de comunicación formal al municipio con la explicación de las razones y la identificación de alternativas de solución por parte de la Entidad Territorial. De la  solicitud de modificación, hoy remiten subsanación.
2026-05-04. Se encuentra pendiente respuesta por parte de la Oficina de Contratos frente a las solicitudes y consultas elevadas desde la supervisión del convenio. Asimismo, se requiere la aclaración por parte de la Dirección de Infraestructura y Hábitat respecto al alcance del concepto de maduración en fase III (componentes social, jurídico, financiero, entre otros). Se proyecta la realización de reunión con la Entidad Territorial durante la semana del 4 al 8 de mayo de 2026.
2026-04-28. 28/04/2026 Es necesario que la Dirección técnica de infraestructura y habitat aclare el concepto de maduración fase III (social, jurídico, financiero y otros). 
28/04/2026 Se remitió desde la Dirección técnica de infraestructura y habitat a Oficina de Contratos Reiteración de solicitud de respuesta – Memorando No. M-2026-40204-011594 – Convenio No. 684-FIP-2025
23/04/2026 Se remitió desde supervisión a Oficina de Contratos memorando con asunto "Reiteración de solicitudes pendientes de respuesta, precisiones sobre el estado de la maduración Fase III y propuesta de mesa de trabajo – Convenio Interadministrativo No. 684 FIP 2025."
2026-04-21. A la fecha, la situación del convenio se mantiene sin variaciones sustanciales. El ingeniero Óscar Becerra realizó la revisión de las subsanaciones correspondientes a la etapa de maduración, evidenciando conformidad en el componente técnico. No obstante, aún no se tiene claridad sobre la evaluación de los demás componentes, tales como jurídico, financiero, social y de sostenibilidad. En reunión adelantada con el equipo jurídico, la abogada María José Ballesteros puso de presente la falta de respuesta por parte del área de Contratos, lo cual genera incertidumbre en el trámite. En este contexto, la abogada Adriana Arias asumió el compromiso de gestionar una aclaración formal ante dicha área, con el fin de unificar criterios frente a las inconsistencias identificadas y obtener una respuesta oficial por escrito que sirva de soporte para la toma de decisiones en el proceso.
2026-04-14. A la fecha, la situación del convenio se mantiene sin variaciones sustanciales. El ingeniero Óscar Becerra realizó la revisión de las subsanaciones correspondientes a la etapa de maduración, evidenciando conformidad en el componente técnico. No obstante, aún no se tiene claridad sobre la evaluación de los demás componentes, tales como jurídico, financiero, social y de sostenibilidad. En reunión adelantada con el equipo jurídico, la abogada María José Ballesteros puso de presente la falta de respuesta por parte del área de Contratos, lo cual genera incertidumbre en el trámite. En este contexto, la abogada Adriana Arias asumió el compromiso de gestionar una aclaración formal ante dicha área, con el fin de unificar criterios frente a las inconsistencias identificadas y obtener una respuesta oficial por escrito que sirva de soporte para la toma de decisiones en el proceso.
2026-03-09. El municipio entregó subsaanaciones el 03 de marzo de 2026.  Se generó concepto por parte del Ing. Oscar Becerra el pasado 06 de marzo de 2026 donde se indica que la maduración fase III es baja. El pasado 06 de marzo de 2026 se emitió el comunicado No. S-2026-40204-029134 con asunto "Comunicación de no cumplimiento de hito de maduración Fase III y reporte a instancias directivas – Convenio Interadministrativo No. 684-FIP-2025." El día de hoy se está montando memorando de notificación a Oficina de Contratos y Ordenación del gasto informado que no se cumplió la maduración fase III, ni en los tres meses desde la suscripción del convenio, ni en el mes solicitado de prorroga, el convenio establece: "PROSPERIDAD SOCIAL – FIP y la ENTIDAD TERRITORIAL podrán dar por terminado el convenio, sin perjuicio de las demás actuaciones que puedan adelantarse frente a las disposiciones contractuales."
2026-02-16. El día 06 de febrero finalizó el plazo de maduración fase 3, de manera que el municipio solicitó prórroga por 1 mes para culminar dicha etapa. El compromiso actual es que el 24 de febrero la entidad territorial deberá entregar la documentación con las subsanaciones realizadas.</t>
  </si>
  <si>
    <t>680-FIP-2025</t>
  </si>
  <si>
    <t>YARUMAL</t>
  </si>
  <si>
    <t>Aunar esfuerzos técnicos, administrativos y financieros entre el DEPARTAMENTO ADMINISTRATIVO PARA LA PROSPERIDAD SOCIAL FONDO DE INVERSION PARA LA PAZ FIP y EL MUNICIPIO DE YARUMAL ANTIOQUIA con el fin de brindar asistencia tecnica y financiera para el desarrollo de obras de infraestructura social vial orientada a promover la inclusión socioeconomica la superación de la pobreza la consolidacion y estabilizacion de los territorios asi como la reconciliacion y la paz de acuerdo con el proyecto establecido en el anexo 1.</t>
  </si>
  <si>
    <t>2026-07-28. En Comité Técnico de Seguimiento Contractual realizado el 28 de julio de 2026 se informó que el Otrosí No. 2 fue suscrito el 23 de julio de 2026, formalizando las modificaciones a la cláusula novena, relacionada con el Comité Fiduciario, y a la cláusula quinta, correspondiente a la imputación presupuestal. Con esta modificación se habilitó la ruta para convocar nuevamente el Comité Fiduciario y someter a aprobación el Manual Operativo, requisito previo para el desembolso de los recursos.
La formalización de la exención del Gravamen a los Movimientos Financieros —GMF— continúa en trámite ante Bancolombia. Fiduciaria Central reiteró la solicitud el 17 de julio de 2026 e informó que la validación puede tardar entre diez y quince días hábiles, siempre que no se presenten devoluciones u observaciones. En consecuencia, se encuentra pendiente el pronunciamiento definitivo de la entidad bancaria.
En el componente social se adelantan actividades de articulación para realizar la capacitación sobre Auditorías Visibles, dirigida a los contratistas de obra de los lotes 1 y 2, la interventoría y el municipio, antes del inicio de la ejecución física.
Durante el comité también se revisó la propuesta municipal de redistribución interna del presupuesto oficial. El ajuste traslada cantidades de obra entre los capítulos de excavaciones y transportes y redes de acueducto y alcantarillado, sin modificar el valor total del convenio ni los aportes de las partes. El Comité Técnico manifestó conformidad con la redistribución; no obstante, deben consolidarse los soportes técnicos que demuestren la suficiencia de las cantidades remanentes, especialmente en los tramos 5 y 6, donde las reducciones superan el 80%, así como el balance general de excavaciones, el aval de la interventoría y la definición de la forma de medición y pago. La principal alerta se concentra en evitar que la redistribución genere mayores cantidades sin respaldo, reclamaciones o desequilibrios económicos durante la ejecución. El proyecto continúa sin inicio físico hasta la aprobación del Manual Operativo, el desembolso y el cierre de los requisitos contractuales y técnicos previos
2026-07-17. En Comité Técnico de Seguimiento Contractual realizado el 14 de julio de 2026 se verificó que continúa en trámite el Otrosí No. 2, mediante el cual se proyecta modificar la cláusula novena sobre el Comité Fiduciario y aprobación del Manual Operativo, la cláusula quinta correspondiente a la imputación presupuestal y la cláusula cuarta relacionada con el valor del convenio. La aprobación de esta modificación por parte de la Oficina de Contratación constituye el requisito principal para continuar con la aprobación del Manual Operativo y avanzar hacia el desembolso de los recursos.
Permanece pendiente la formalización de la exención del Gravamen a los Movimientos Financieros —GMF— ante la entidad bancaria. En el componente social, el municipio informó que el 10 de julio remitió los soportes de socialización del proyecto para revisión e incorporación al expediente; adicionalmente, continúa pendiente la remisión del modelo de valla informativa por parte del componente social de Prosperidad Social. También está pendiente que Fiduciaria Central remita el Acta del Comité Fiduciario No. 1, realizado el 25 de junio de 2026. El proyecto se mantiene sin inicio de ejecución física y la principal alerta administrativa y financiera corresponde a la formalización del Otrosí No. 2, dado que de este trámite dependen la aprobación del Manual Operativo, el desembolso y la continuidad de la ruta contractual.
2026-07-09. Proyecto vial en etapa previa a obra, con maduración Fase III favorable, fiducia contratada, garantías aprobadas e interventoría adjudicada. Persisten pendientes Comité Fiduciario, desembolso de recursos y verificación del proceso de obra por lotes.
2026-06-10. El estado permanece sin  novedades.
2026-05-26. Estado continúa en proceso de las acciones reportadas la semana anterior.
2026-05-19. Fiducentral informó que durante la presente semana adelantará ante Bancolombia el trámite para la apertura de la segunda cuenta bancaria, teniendo en cuenta que el proyecto se encuentra dividido en dos lotes. Asimismo, se programó reunión de seguimiento a compromisos para el jueves 21 a las 4:00 p. m. Adicionalmente, el municipio reportó avances en la actualización de pólizas y en los ajustes a las minutas contractuales, gestión que continúa en seguimiento.
2026-05-12. No se reporta ninguna novedad respecto de la anterior actualización.
2026-04-28. El Manual Operativo de la fiducia cuenta con dos revisiones: la primera por la supervisión del convenio y la segunda por el apoyo financiero. A la fecha, las observaciones resultantes están pendientes de atención por parte del ente territorial y la fiduciaria. Se proyecta que el documento sea finalizado para el próximo Comité Técnico de Seguimiento, permitiendo así la convocatoria del Comité Fiduciario donde Prosperidad Social otorgará la no objeción (estimado para la última semana de mayo). Paralelamente, la entrega de garantías del contrato fiduciario al ente territorial para su aprobación se encuentra en gestión y se espera su cumplimiento para la misma sesión técnica.
2026-04-21. El proceso de obra fue estructurado por la entidad territorial en dos lotes (tramos), uno de los cuales fue declarado desierto y se encuentra en proceso de nueva publicación. Por su parte, el proceso de interventoría se mantiene en curso, sin que a la fecha se hayan remitido los soportes de adjudicación, pese a reiterados requerimientos por parte de la supervisión.
2026-04-14. Se solicitó a la Alcaldía de Yarumal (Antioquia), mediante oficio S-2026-40204-046820, la remisión de documentación contractual y soportes de publicación en SECOP II del proceso LP-SI-001-2026 (obra), así como los documentos correspondientes al proceso CM-001-2026 (interventoría), incluyendo informe de evaluación y acto de adjudicación.
2026-03-09. El 6 de marzo 2026 la ET adjudicó el esquema fiduciario.  En proceso de contratación Obra e Interventoría con fechas de adjudicación finales de marzo de 2026.</t>
  </si>
  <si>
    <t>331-DPS-2025</t>
  </si>
  <si>
    <t>TERMINACIÓN "CONSTRUCCIÓN DE PLAZA DE MERCADO SAN ISIDRO LABRADOR DEL MUNICIPIO DE ROVIRA - TOLIMA" DEL CONVENIO INICIAL # 321-FIP-2021, ID PROYECTO # 11999</t>
  </si>
  <si>
    <t>CONVENIOS 2026</t>
  </si>
  <si>
    <t>POR DESIGNAR</t>
  </si>
  <si>
    <t>804-FIP-2026</t>
  </si>
  <si>
    <t>Vía Rural</t>
  </si>
  <si>
    <t>Mejoramiento de vías terciarias mediante la construcción de Placa Huella en el corregimiento San Luis en el Municipio de Neiva, Huila</t>
  </si>
  <si>
    <t>ARCHIPIÉLAGO DE SAN ANDRÉS, PROVIDENCIA Y SANTA CATALINA</t>
  </si>
  <si>
    <t>San Andrés</t>
  </si>
  <si>
    <t>CONSTRUCCIÓN Y ADECUACIÓN  DEL RESTAURANTE Y CENTRO FISHERMEN PLACE EN EL SECTOR EL COVE -  SAN ANDRÉS ISLAS</t>
  </si>
  <si>
    <t xml:space="preserve">2026-02-16. Proyecto Terminado y entregado </t>
  </si>
  <si>
    <t>GR SAN ANDRÉS Y PROVIDENCIA</t>
  </si>
  <si>
    <t>SURATÁ</t>
  </si>
  <si>
    <t>Construcción del Centro de Adulto Mayor del municipio de Suratá - Santander</t>
  </si>
  <si>
    <t>URIBIA</t>
  </si>
  <si>
    <t>Centro de Acopio</t>
  </si>
  <si>
    <t>Construcción centro de acopio artesanal Botoncho</t>
  </si>
  <si>
    <t>Construcción San Cipriano Casa comunitaria de encuentro e intercambio</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</si>
  <si>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2026-04-28. Como resultado de las mesas técnico-jurídicas, se definió como ruta de acción la liquidación bilateral inmediata del convenio interadministrativo.
2026-04-14. En análisis la viabilidad de liquidación bilateral, condicionado a la revisión de la liquidación unilateral del contrato de obra por parte del municipio (información solicitada). 
2026-03-09. Proyecto en etapa de diagnóstico por parte de E.T. con el objetivo de conocer el estado actual de la obra.
2026-02-16. Convenio en análisis a causa de que se adelanta proceso de incumplimiento con el convenio original (391 FIP 2021).</t>
  </si>
  <si>
    <t>Construcción plaza de mercado municipio de Uribia, Guajira</t>
  </si>
  <si>
    <t>Construcción plaza de mercado municipio de Galeras, Sucre</t>
  </si>
  <si>
    <t>SAN SEBASTIÁN DE BUENAVISTA</t>
  </si>
  <si>
    <t>Construcción plaza de mercado municipio de San Sebastián de Buenavista, Magdalena</t>
  </si>
  <si>
    <t>SAN BENITO ABAD</t>
  </si>
  <si>
    <t>Construcción plaza de mercado municipio de San Benito Abad, Sucre</t>
  </si>
  <si>
    <t>CARAMANTA</t>
  </si>
  <si>
    <t>Infraestructura productiva</t>
  </si>
  <si>
    <t>Mejoramiento y adecuación de un centro  especializado para la transformación del café  "Laboratorio de Café de  Caramanta" Antioquia</t>
  </si>
  <si>
    <t>SAN JOSÉ DE TOLUVIEJO</t>
  </si>
  <si>
    <t xml:space="preserve">No Viable -El municipio indicó que no cuentan más predios para el proyecto PAS. Sin embargo, solicitaron 15 días para revisar si pueden comparar un predio que sirva para el proyecto
El predio postulado no cumplió con las condiciones mínimas de área, dado que contaba únicamente con una extensión aproximada de 450 m². Adicionalmente, presentó una pendiente superior a la permitida. Asimismo, el municipio no dispuso de otro predio que cumpliera con los requerimientos mínimos establecidos para la construcción del PAS. </t>
  </si>
  <si>
    <t>RESTREPO</t>
  </si>
  <si>
    <t>SAN JOSÉ DE URÉ</t>
  </si>
  <si>
    <t>No Viable - Por la imposibilidad del municipio de subsanar observaciones jurídicas y además no cuentan con otro predio que postular
Desde la visita al predio se solicitó al municipio la remisión de la información requerida para la evaluación de la viabilidad técnica y jurídica; sin embargo, dicho compromiso no fue atendido, pese a las reiteradas solicitudes realizadas. Adicionalmente, no se aportó el certificado de tradición y libertad del predio adquirido mediante la Escritura Pública No. 1135 del 24 de junio de 2015. En consecuencia, el predio fue considerado no viable desde el punto de vista jurídico.</t>
  </si>
  <si>
    <t>332-DPS-2025</t>
  </si>
  <si>
    <t>TERMINACIÓN "CONSTRUCCIÓN DE LA PLAZA DE MERCADO DEL BARRIO PORVENIR EN EL MUNICIPIO DE SAN JOSE DEL GUAVIARE - GUAVIARE" DEL CONVENIO INICIAL # 518-FIP-2021, ID PROYECTO # 11781</t>
  </si>
  <si>
    <t>2026-06-10. El 10/06/2026 se remitió desde la supervisión a la Oficina de Contratos el memorando No. M-2026-40207-027338 con asunto "Solicitud de tramites de reclamación de seguro y otros según Aviso de Siniestro - Póliza de Cumplimiento No. 620-47-994000043380. Convenio No. 518 FIP 2021 celebrado entre PROSPERIDAD SOCIAL – FIP y la ENTIDAD TERRITORIAL (San José del Guaviare – Guaviare)."
2026-03-09. Proyecto se encuentra en etapa de diagnóstico por parte de E.T. con el objetivo de conocer el estado actual de la obra.
2025-02-16. Se plantea la realización de visita técnica para diagnóstico y pertinencia.</t>
  </si>
  <si>
    <t>BELÉN DE UMBRÍA</t>
  </si>
  <si>
    <t>Construcción de Infraestructura productiva en el Municipio de Belén de Umbría, Risaralda</t>
  </si>
  <si>
    <t>OBANDO</t>
  </si>
  <si>
    <t>Construcción del circuito agroindustrial en el municipio de Obando, Valle del Cauca</t>
  </si>
  <si>
    <t>SAN MARTÍN</t>
  </si>
  <si>
    <t>Construcción plaza de mercado municipio de San Martín, Cesar</t>
  </si>
  <si>
    <t>GR CESAR</t>
  </si>
  <si>
    <t>TOLEDO</t>
  </si>
  <si>
    <t>Construcción de un Infraestructura productiva en el Municipio de Toledo, Norte de Santander</t>
  </si>
  <si>
    <t>SAN JUAN NEPOMUCENO</t>
  </si>
  <si>
    <t xml:space="preserve"> 2026-05-05 - El predio propuesto se considera no viable, ya que no cumple con las condiciones mínimas en materia de redes eléctricas, debido a que líneas de media tensión atraviesan el terreno. En consecuencia, el 18 de noviembre de 2024, el profesional técnico de Findeter que realizó la visita de campo el 9 de octubre de 2024 diligenció el formato de no viabilidad, dejando constancia de que la decisión se sustenta en criterios estrictamente técnicos.                                                                                                                                                        El municipio no remitió la documentación relacionada con un plano de localización donde se incluya la red eléctrica que atraviesa el predio, documentos técnicos actualizados, para revisar si es posible viabilizar desde lo técnico y jurídico
</t>
  </si>
  <si>
    <t>341-DPS-2025</t>
  </si>
  <si>
    <t>TERMINACIÓN "CONSTRUCCIÓN DE PLAZA DE MERCADO EN LA CABECERA MUNICIPAL DE SAN LORENZO - NARIÑO" DEL CONVENIO INICIAL # 633-FIP-2021, ID PROYECTO # 11054</t>
  </si>
  <si>
    <t>2026-05-19. Se dieron 10 días para remisión de docuemtnación. Pendiente aclarar el pasivo exigible.
2026-04-28. Resultado de las mesas técnico-Jurídica se determinó ruta de Subsanación de condiciones para liquidación del convenio interadministrativo.
2026-04-14. Se va a realizar revisión durantee la próxima semana. 
2026-04-14. Pasivo exigible reconocido; sin embargo, el municipio no ha avanzado en el pago al contratista, lo que limita el cierre del convenio. Requiere nueva mesa de concertación.
2026-03-09. Proyecto se encuentra en etapa de diagnóstico por parte de E.T. con el objetivo de conocer el estado actual de la obra.
2025-02-16. Se plantea la realización de visita técnica para diagnóstico y pertinencia.</t>
  </si>
  <si>
    <t>SAN GIL</t>
  </si>
  <si>
    <t>Mejoramiento, mantenimiento general de la Plaza de Mercado Cubierto de San Gil, Santander</t>
  </si>
  <si>
    <t>Mejoramiento Plaza de Mercado municipio Villanueva, Casanare</t>
  </si>
  <si>
    <t>Mejoramiento de la Plaza de mercado Bellavista, Buenaventura – Valle del Cauca. Incluye cuarto frío</t>
  </si>
  <si>
    <t>Adecuación y mejoramiento de la infraestructura productiva ASOMUDEM incluyendo un cuarto frío municipio de Restrepo, Meta</t>
  </si>
  <si>
    <t>Mejoramiento de la plaza de mercado muelle de cabotaje Guapi, Cauca (incluye cuarto frío de 2TN)</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</si>
  <si>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2026-05-19. Pendientes algunos documentos de la liquidación del convenio inicial como acta de recibo final. Pendiente cierre financiero.
2026-04-28. Resultado de las mesas técnico-Jurídica se determinó ruta de Subsanación de condiciones para liquidación del convenio interadministrativo.
2026-04-14. Se radicó documentación para liquidación bilateral; paralelamente continúa el proceso de presunto incumplimiento con traslado a aseguradora. Programada reunión (17/04) para definir tasación de perjuicios y cuantificación. 
2026-03-09. Proyecto se encuentra en etapa de diagnóstico por parte de E.T. con el objetivo de conocer el estado actual de la obra.
2025-02-16. Se plantea la realización de visita técnica para diagnóstico y pertinencia.</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</si>
  <si>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2026-05-19. Pendiente Acta de recibo final y terminación. pendiente actualización de pólizas. También pendiente devolución de recursos.
2026-04-28. Como resultado de las mesas técnico-jurídicas, se definió como ruta de acción la liquidación bilateral inmediata del convenio interadministrativo.
2026-03-09. Proyecto se encuentra en etapa de diagnóstico por parte de E.T. con el objetivo de conocer el estado actual de la obra.
2025-02-16. Se plantea la realización de visita técnica para diagnóstico y pertinencia.</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</si>
  <si>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2026-05-12. Pendiente acta de liquidación del contrato derivado, hay unas actividades que interventoría no reconocerá al contratista, pendiente reintegro de recursos.
2026-04-28. Se adelantará mesa de trabajo para el día de hoy con el objetivo de establecer ruta de liquidación.
2026-03-09. Proyecto se encuentra en etapa de diagnóstico por parte de E.T. con el objetivo de conocer el estado actual de la obra.
2025-02-16. Se plantea la realización de visita técnica para diagnóstico y pertinencia.</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</si>
  <si>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comite directivo del 08-05-2026
2026-05-19. Pendientes remitir documentación para iniciar proceso de liquidación de convenio inicial.
2026-04-28. Resultado de las mesas técnico-Jurídica se determinó ruta de Subsanación de condiciones para liquidación del convenio interadministrativo.
2026-04-14. Requiere evaluación patológica para determinar estado de la infraestructura. Cuenta con visita de pertinencia. Se recomendó continuar con la liquidación del convenio. 
2026-03-09. Proyecto se encuentra en etapa de diagnóstico por parte de E.T. con el objetivo de conocer el estado actual de la obra.
2025-02-16. Se plantea la realización de visita técnica para diagnóstico y pertinencia.</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</si>
  <si>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2026-05-19. Pendiente por remitir documentación para iniciar proceso de liquidación.
2026-04-28. Resultado de las mesas técnico-Jurídica se determinó ruta de Subsanación de condiciones para liquidación del convenio interadministrativo.
2026-04-21. El jueves 16 de abril se realizó reunión técnico jurídica con tractual , contratos y supervisores para verificar ruta para tramitar pago pendiente.
2026-04-14. Pendiente definición de pasivo exigible. Limitante asociada a la no autorización de desembolsos por parte del Concejo Municipal. Se sugiere nueva mesa de análisis. 
2026-03-09. Proyecto se encuentra en etapa de diagnóstico por parte de E.T. con el objetivo de conocer el estado actual de la obra.
2025-02-16. Se plantea la realización de visita técnica para diagnóstico y pertinencia.</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</si>
  <si>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2026-05-19. Se dieron 10 días para remisión de docuemtnación. Pendiente aclarar el pasivo exigible.
2026-04-28. Resultado de las mesas técnico-Jurídica se determinó ruta de Subsanación de condiciones para liquidación del convenio interadministrativo.
2026-04-14. Se va a realizar revisión durantee la próxima semana. 
2026-04-14. Pasivo exigible reconocido; sin embargo, el municipio no ha avanzado en el pago al contratista, lo que limita el cierre del convenio. Requiere nueva mesa de concertación.
2026-03-09. Proyecto se encuentra en etapa de diagnóstico por parte de E.T. con el objetivo de conocer el estado actual de la obra.
2025-02-16. Se plantea la realización de visita técnica para diagnóstico y pertinencia.</t>
  </si>
  <si>
    <t>TERMINACIÓN "REMODELACIÓN ADECUACIÓN Y MEJORAMIENTO DE LA PLAZA DE MERCADO DE SOATA - BOYACÁ" DEL CONVENIO INICIAL # 658-FIP-2021, ID PROYECTO # 11584</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</si>
  <si>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2026-05-19. En comité de conciliación se manifestó que el porcentaje de ejecución de muy bajo (33,23%). 
2026-04-28. Resultado de las mesas técnico-Jurídica se determinó imposibilidad de liquidación bilateral por lo que se deja la alerta.
2026-04-21. Se encuentra en trámite de conciliación.
2026-04-14. Proyecto con afectaciones estructurales. Requiere diagnóstico técnico que determine porcentaje de obra funcional para viabilizar pagos mediante pasivo exigible. Pendiente nueva mesa técnica. 
2026-03-09. Proyecto se encuentra en etapa de diagnóstico por parte de E.T. con el objetivo de conocer el estado actual de la obra.
2025-02-16. Se plantea la realización de visita técnica para diagnóstico y pertinencia.</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</si>
  <si>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2026-05-19. Se encuentrna pendiente remitir documentación para iniciar proceso de liquidación.
2026-04-28. Resultado de las mesas técnico-Jurídica se determinó ruta de Subsanación de condiciones para liquidación del convenio interadministrativo.
2026-03-09. Proyecto se encuentra en etapa de diagnóstico por parte de E.T. con el objetivo de conocer el estado actual de la obra.
2025-02-16. Se plantea la realización de visita técnica para diagnóstico y pertinencia.</t>
  </si>
  <si>
    <t>SAN JOSÉ DEL PALMAR</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</si>
  <si>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2026-05-19. Aún se encuentran pendientes algunos documentos para ruta de liquidación de convenio inicial y actualización de pólizas.
2026-04-28. Resultado de las mesas técnico-Jurídica se determinó ruta de Subsanación de condiciones para liquidación del convenio interadministrativo.
2026-04-14. : Contrato terminado anticipadamente. Se avanza en proceso de liquidación conforme a lo definido en mesas de seguimiento. 
2026-04-06. Se realizará visita de verificación y de pertinencia del proyecto los días 14 y 15 de abril de 2026 (Se solicitó la comisión pero hasta el momento no ha sido aprobada por el ordenador del gasto).                                                                                                                                                     2026-03-09. Proyecto se encuentra en etapa de diagnóstico por parte de E.T. con el objetivo de conocer el estado actual de la obra.
2025-02-16. Se plantea la realización de visita técnica para diagnóstico y pertinencia.</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</si>
  <si>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t>
  </si>
  <si>
    <t>SEGOVIA</t>
  </si>
  <si>
    <t>No Viable –Demolición de infraestructura, reubicación de parqueadero y joyería.
No se remitió por parte del ente territorial el convenio interadministrativo firmado ni la carta de compromisos suscrita, pese a las reiteradas solicitudes. Ante la falta de respuesta y evidencia de interés en la ejecución, el proyecto PAS se cataloga como no viable.</t>
  </si>
  <si>
    <t>346-DPS-2025</t>
  </si>
  <si>
    <t>TERMINACIÓN "REMODELACIÓN PLAZA DE MERCADO MUNICIPIO DE SEVILLA - VALLE DEL CAUCA" DEL CONVENIO INICIAL # 456-FIP-2017, ID PROYECTO # 5209</t>
  </si>
  <si>
    <t>2026-05-19. Pendientes pagos por pasivos exigibles, aún están en revisión y no se han programado.
2026-04-28. Se adelantará mesa de trabajo para el día de hoy con el objetivo de establecer ruta de liquidación.
2026-04-14. Pendiente remisión de documentación por parte del municipio. Se debe definir reconocimiento de pasivo aproximado de $700 millones a favor del contratista, lo cual condiciona la ruta jurídica. 
2026-03-09. Proyecto se encuentra en etapa de diagnóstico por parte de E.T. con el objetivo de conocer el estado actual de la obra.
2025-02-16. Se plantea la realización de visita técnica para diagnóstico y pertinencia.</t>
  </si>
  <si>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2026-05-19. Pendientes pagos por pasivos exigibles, aún están en revisión y no se han programado.
2026-04-28. Se adelantará mesa de trabajo para el día de hoy con el objetivo de establecer ruta de liquidación.
2026-04-14. Pendiente remisión de documentación por parte del municipio. Se debe definir reconocimiento de pasivo aproximado de $700 millones a favor del contratista, lo cual condiciona la ruta jurídica. 
2026-03-09. Proyecto se encuentra en etapa de diagnóstico por parte de E.T. con el objetivo de conocer el estado actual de la obra.
2025-02-16. Se plantea la realización de visita técnica para diagnóstico y pertinencia.</t>
  </si>
  <si>
    <t>GÉNOVA</t>
  </si>
  <si>
    <t xml:space="preserve">2026-08-20 - Cierre de Act 1 Estudios y Diseños
2026-07-30 - Cierre de Act 1 Estudios y Diseños
2026-06-30 - Cierre de Act 1 Estudios y Diseños
2026-06-22 - Act 1 Estudios y Diseños
2026-06-16 - Inicia Act 1 Estudios y Diseños
2026-06-09 - Sin Novedad
2026-06-01 - Sin Novedad
2026-05-25 - Sin Novedad
2026-05-19 - Sin Novedad
2026-05-11 - Fecha de Reinicio: 13 de mayo 2026
2026-05-05 - Fecha de Reinicio: 13 de mayo 2026
2026-04-27 - Fecha de Reinicio: 13 de mayo 2026                                                                                                                                                                                                                                                                                                      
Jurídico: Novedad predial, en ajuste del municipio.                                                                                                                                     
2026-04-20 - Sin Novedad
2026-04-13 - Sin Novedad                                                                                                                                      
2026-03-30 - Sin Novedad                                                                                                                                     
2026-03-24 - Sin Novedad                                                                                                                                    
2026-03-16 - Sin Novedad                                                                                                                                      
2026-03-10 - Sin Novedad                                                                                                                                    
2026-03-02 - Sin Novedad                                                                                                                                  
2026-02-23 - Sin Novedad                                                                                                                                              </t>
  </si>
  <si>
    <t>671-FIP-2025</t>
  </si>
  <si>
    <t>SANTA MARíA</t>
  </si>
  <si>
    <t>AUNAR ESFUERZOS TÉCNICOS, ADMINISTRATIVOS Y FINANCIEROS, ENTRE EL DEPARTAMENTO ADMINISTRATIVO PARA LA PROSPERIDAD SOCIAL – FONDO DE INVERSIÓN PARA LA PAZ - PROSPERIDAD SOCIAL – FIP, EL DEPARTAMENTO DEL HUILA Y EL MUNICIPIO DE SANTA MARÍA, PARA LA EJECUCIÓN DEL PROYECTO "PAVIMENTACION DE LA RED TERCIARIA EN ZONA RURAL MEDIANTE EL SISTEMA DE PLACA HUELLA EN EL MUNICIPIO DE SANTA MARÍA (DEPARTAMENTO DEL HUILA</t>
  </si>
  <si>
    <t>2026-08-19. El proyecto continúa por iniciar ejecución física, sin acta de inicio. El inicio depende de culminar la contratación de la interventoría y la legalización de los contratistas encargados de ejecutar las obras. No se reportan situaciones de alarma particulares y se estima iniciar en aproximadamente tres meses.
2026-07-31. El contrato de obra continúa en etapa de adjudicación, sin suscripción ni legalización. El proyecto permanece sin ejecución física. No se informan alertas particulares. El inicio está condicionado a la formalización de la interventoría y al cumplimiento de los requisitos contractuales de obra.
2026-07-17. El contrato de obra derivado cuenta con acto de adjudicación y se encuentra pendiente de firma. El proyecto continúa sin ejecución física reportada. El inicio está sujeto a la legalización del contrato, aprobación de garantías, disponibilidad de la interventoría y suscripción del acta de inicio. No se reportaron alertas específicas.
2026-07-09. Caso diferenciado del bloque Huila: permanece en estructuración para obra e interventoría, sin ejecución física. La alerta está en cerrar estructuración, garantizar cobertura de interventoría y evitar rezago frente a los demás derivados.
2026-06-10. Se encuentra pendiente la aprobación de las garantías correspondientes al otrosí.
2026-05-19. Convenio de interventoría 681-FIP-2025: El convenio fue suscrito por las partes y actualmente se encuentra pendiente la remisión de las pólizas por parte de la Gobernación. El plazo establecido para su entrega venció el viernes anterior, por lo cual se remitió el requerimiento correspondiente. Respecto a la actualización de las pólizas de los contratos derivados, estas ya fueron expedidas y se encuentran pendientes de firma por parte del Gobernador.
2026-05-12. El Dr. Pastrana suscribió el otrosí el 5 de mayo y el Departamento lo firmó el 11 de mayo. Actualmente, la Oficina de Contratación adelanta la expedición del CDP, mientras que la Gobernación gestiona la actualización de la póliza por incremento de valor. Conforme a lo establecido en el otrosí, la póliza deberá ser remitida dentro de los cuatro (4) días siguientes. Las pólizas de los convenios de obra se encuentran en proceso de corrección por parte de la Gobernación, previo a su remisión para revisión y aprobación correspondiente.
2026-05-04. El estado se mantiene sin cambios. Se encuentra pendiente la autorización por parte del Dr. Pastrana para la adición del Convenio 681 de 2025 (Interventoría) en SECOP II. Paralelamente, la abogada de Prosperidad Social adelanta la revisión y aprobación de las pólizas, proceso que se proyecta finalizar el día jueves.
2026-04-27. El día miércoles 22 de abril de 2026 se recibieron las pólizas ajustadas correspondientes a todos los convenios, las cuales fueron remitidas a la abogada del área de Contratos para su respectiva revisión, prevista entre los días 27 y 28 de abril. En relación con el Otrosí No. 2 del Convenio 681-FIP-2025 (interventoría), se encuentra pendiente la aprobación por parte del Dr. Pastrana.
2026-04-21. Hubo observaciones por parte de la oficina de contratación a las pólizas del convenio, teniendo en cuenta que que las pólizas fueron emitidas bajo el Decreto 1082 de 2025, razón por la cual deben corresponder a una Póliza de Cumplimiento ante Entidades Públicas con Régimen Privado de Contratación, conforme a la normativa aplicable.
2026-03-09. Ya se cuenta con el dinero disponible para la contratación de la interventoría que va a ser una sola para todos los proyectos de gobernaciones del departamento del Huila. Se pretenden hacer dos grupos de contratación: Uno para las obras de pavimento urbano y otro para obras de placa huella en zona rural.
2026-02-16. Se está haciendo el proceso de adición al convenio de interventoría (682 FIP 2025) para incluir este proyecto derivado</t>
  </si>
  <si>
    <t>SINCELEJO</t>
  </si>
  <si>
    <t xml:space="preserve">20260310 - No Viable - Proyecto iniciado en actividad 1. Aunque la licencia de construcción tiene concepto favorable y las expensas fueron pagadas desde agosto de 2025, el municipio aún no ha expedido el acto administrativo correspondiente que dé ejecutoria a la licencia de construcción. Esto podría deberse a la oposición de la comunidad vecina al predio, que ha expresado su desacuerdo con la construcción del PAS.                                   
20260302 - Sin Novedad                                                                                                                                  
20260223 - Sin Novedad                                                                                                                                                      </t>
  </si>
  <si>
    <t>686-FIP-2025</t>
  </si>
  <si>
    <t>GUATAQUÍ</t>
  </si>
  <si>
    <t>AUNAR ESFUERZOS TÉCNICOS, ADMINISTRATIVOS Y FINANCIEROS ENTRE EL DEPARTAMENTO ADMINISTRATIVO PARA LA PROSPERIDAD SOCIAL – FONDO DE INVERSIÓN PARA LA PAZ – PROSPERIDAD SOCIAL – FIP, INSTITUTO DE CAMINOS Y CONCESIONES DE CUNDINAMARCA – ICCU Y EL MUNICIPIO DE GUATAQUI – CUNDINAMARCA EN ADELANTE DENOMINADO ENTIDAD TERRITORIAL, PARA LA EJECUCIÓN DE OBRAS DE INFRAESTRUCTURA SOCIAL PRODUCTIVA, CON EL PROPÓSITO DE APORTAR A LA INCLUSIÓN SOCIOECONÓMICA, LA SUPERACIÓN DE LA POBREZA, LA CONSOLIDACIÓN DE TERRITORIOS Y LA GENERACIÓN DE ESPACIOS COMUNITARIOS PARA LA REINTEGRACIÓN, ESTABILIZACIÓN Y RECONCILIACIÓN SOCIAL.</t>
  </si>
  <si>
    <t>2026-08-19. El proyecto continúa por iniciar ejecución física, con 0 % de avance. Se encuentra en proceso de subsanación de los estudios técnicos y no cuenta con acta de inicio de obra ni de interventoría. Una vez culminen los ajustes deberá revisarse el alcance del convenio y determinarse la necesidad de realizar mesa técnica ante Prosperidad Social para la eventual reestructuración de la ficha.
2026-07-30. El proyecto no ha iniciado ejecución física. El componente arquitectónico se encuentra solventado y actualmente se adelanta la revisión y subsanación de observaciones en el componente estructural y en las demás especialidades técnicas. La interventoría se encuentra adjudicada, pero aún no cuenta con acta de inicio. No se dispone de fecha estimada para el inicio de las obras. La principal alerta corresponde a culminar las subsanaciones técnicas y formalizar el inicio de la interventoría, como requisitos previos para habilitar la ejecución física.
2026-07-17. El proyecto no ha iniciado ejecución física y continúa en revisión técnica. El contrato de interventoría, a cargo del Consorcio INT Guataquí 2026, se encuentra en trámite de firma y aún no ha sido perfeccionado ni cuenta con acta de inicio. La ejecución está condicionada al cierre de las observaciones técnicas, legalización de los contratos, aprobación de garantías y suscripción de las respectivas actas de inicio. La principal alerta administrativa corresponde a evitar retrasos adicionales en la firma y perfeccionamiento del contrato de interventoría.
2026-07-09. Plaza de mercado con avance físico 0%, vinculada al Convenio Marco 854-FIP-2024 y a la interventoría 682-FIP-2025. Los recursos de adición para interventoría fueron girados; alerta por legalización de interventoría e inicio de contratación derivada.
2026-06-10. Se encuentra pendiente la remisión de las solicitudes de prórroga correspondientes, teniendo en cuenta que el convenio vence el 30 de junio de 2026. La prórroga del Convenio Marco No. 854-FIP-2024 se encuentra en flujo de aprobación en la plataforma SECOP II por parte del ICCU.
2026-05-19. Se adelanta la solicitud de prórroga del convenio marco y del Convenio 682-FIP-2025, correspondiente a interventoría, cuyos documentos deberán quedar radicados a más tardar el jueves. De igual manera, se gestionará con los municipios de los convenios derivados el inicio de las solicitudes de prórroga correspondientes. Respecto a la póliza de la adición del Convenio 682-FIP-2025, esta ya fue expedida; sin embargo, el ICCU se encuentra adelantando el trámite de pago, requisito indispensable para avanzar con su aprobación. Se realizó revisión del componente técnico de los convenios cuyo alcance contempla la construcción de infraestructura social, identificando que actualmente no cumplen con los requisitos de maduración Fase III. En consecuencia, se oficiará al ICCU para solicitar, en lo posible, el acompañamiento de la interventoría contratada en la revisión y fortalecimiento de este componente.
2026-05-12. En relación con el Convenio 682 —interventoría—, está pendiente el pago de la póliza, requisito necesario para su publicación en SECOP II junto con el soporte correspondiente y la continuidad del trámite contractual.
2026-05-04. En relación con el Convenio 682 (Interventoría), se encuentra en trámite el pago de la póliza, requisito necesario para su publicación en SECOP II junto con el respectivo soporte de pago y continuar con el trámite correspondiente.
2026-04-28, En relación con el Convenio 682-FIP-2025 (interventoría), el ICCU adquirió la póliza correspondiente; sin embargo, a la fecha no ha sido posible su publicación en SECOP II, dado que no se ha efectuado el pago de la misma. En consecuencia, no se ha podido adelantar el trámite de solicitud de aprobación de la póliza.
2026-04-21. El ICCU esta en los procesos de contratación de la interventoria, inicialmente tiene previstas las primeras adjudicaciones los primeros 10 días de mayo. Posterior a esto se realizarán los cronogramas de ejecución para proceder a prorrogar todos los convenios ya que vencen el 30 de junio.
2026-03-09. Se realizó la adición del convenio 682-2025 para la interventoria. Ya se encuentra adjudicado el respectivo contrato de obra por parte de las ET. A la espera de la interventoria para dar inicio a la ejecución.
Se está haciendo el proceso de adición al convenio de interventoría (682 FIP 2025) para incluir este proyecto derivado</t>
  </si>
  <si>
    <t>MEJORAMIENTO DE LA MALLA VIAL MEDIANTE PAVIMENTO EN PLACA HUELLA EN LA VÍA QUE DEL PARAJE DE PUEBLO VIEJO CONDUCE AL CORREGIMIENTO DE MANUNGARA</t>
  </si>
  <si>
    <t>Estructuración</t>
  </si>
  <si>
    <t xml:space="preserve">2026/08-12: Proyecto aun se encuentra en la etapa de estructuracion, el comite opertativo con fecha de 17 de julio de 2026, Enterritorio informa que los planos se encuentran revisados y procedera a realizar el costeo respectivo. Se envio memorando con fecha 10 de agosto solicitando estado actual a la fecha.                                                                             2026-06-01                                                                                                                                                  Proyecto sigue en revision por parte de Enterritorio                                                                                           2026-05-25                                                                                                                                                                    Enteritorio ya tiene la informacion y esta en revision.                                                                                                      2026-05-12                                                                                                                                                   
Se realizo visita de pertinencia y la informacion fue enviada a Enterritorio con el fin de quede inicio a las obras.                                                                                                                             2026-04-28                                                                                                                                                   Aun continua en proceso de estructuracion                                                                                 2026-04-21. 
Este proyecto continua en la etapa de estructuracion.                                                                                                                                       2026-04-06                                                                                                                                                    El treinta (30) de marzo de dos mil veintiséis (2026), ENTerritorio S.A., mediante comunicación con radicado No. 202623010006441, dirigida a Prosperidad Social, remitió información de soporte para la respuesta a la Presidencia de la Comisión Segunda del Espacio Nacional de Consulta Previa (ENCP), en relación con el Proyecto C540 – Mejoramiento de la Malla Vial mediante Pavimento en Placa Huella en la vía que del Paraje de Pueblo Viejo conduce al Corregimiento de Manungara, municipio de Tadó, Chocó. 
En la comunicación se aportaron dos documentos: la certificación de la Secretaría de Planeación y Obras Públicas del municipio de Tadó, indicando que la vía a intervenir no se localiza en resguardos indígenas o territorios colectivos, y el informe de visita de pertinencia realizada los días 12 y 13 de marzo de 2026 por ENTerritorio S.A. en acompañamiento de Prosperidad Social, en el que se verificó el estado del corredor vial y se concluyó que la alternativa de solución es la construcción de aproximadamente 2.220 ml de placa huella con 5,0 metros de ancho, identificándose necesidades de drenaje y ajustes documentales pendientes por parte del municipio
2026-02-16. 
Proyecto ingresó en el comité de seguimiento del 26 de diciembre de 2025, con un valor de 8,000,000,000
</t>
  </si>
  <si>
    <t>342-DPS-2025</t>
  </si>
  <si>
    <t>2026-05-19. En comité de conciliación se manifestó que el porcentaje de ejecución de muy bajo (33,23%). 
2026-04-28. Resultado de las mesas técnico-Jurídica se determinó imposibilidad de liquidación bilateral por lo que se deja la alerta.
2026-04-21. Se encuentra en trámite de conciliación.
2026-04-14. Proyecto con afectaciones estructurales. Requiere diagnóstico técnico que determine porcentaje de obra funcional para viabilizar pagos mediante pasivo exigible. Pendiente nueva mesa técnica. 
2026-03-09. Proyecto se encuentra en etapa de diagnóstico por parte de E.T. con el objetivo de conocer el estado actual de la obra.
2025-02-16. Se plantea la realización de visita técnica para diagnóstico y pertinencia.</t>
  </si>
  <si>
    <t>RENOVACIÓN LOCALES COMERCIALES CENABASTOS DE CUCUTA</t>
  </si>
  <si>
    <t xml:space="preserve">2026-08-12: Se realiza visita tecnica junio de 2026 dando como resultado las necesidades para la puesta en funcionamineto; se esta a la espera de concluir temas referentes al OTRO SI 24                                                                        2026-06-01                                                                                                                                                  proyecto sin novedades                                                                                                                           2026-05-25                                                                                                                                                                 Se esta a la espera por definir alcance del proyecto, revision debe ser 1 a 1 ya que cada local tiene su disposicion.                                                                                                                  2026-04-06                                                                                                                                                                           Que los días doce y trece de febrero de dos mil veintiséis (2026) se realizó visita de pertinencia al proyecto por parte del apoyo técnico del Convenio 069 FIP 2012 realizando el recorrido por las instalaciones Cenabastos, Trigal del Norte y Nueva Sexta. Que en dicha visita se identificaron las condiciones de los inmuebles entregados a Prosperidad Social.                                                                                                                                   2026-02-16. 
Proyecto ingresó en el comité de seguimiento del 26 de diciembre de 2025, con un valor de 1,272,044,450
    </t>
  </si>
  <si>
    <t>SOLANO</t>
  </si>
  <si>
    <t>SOLITA</t>
  </si>
  <si>
    <t>Construcción plaza de mercado Municipio de Quibdó, departamento del Chocó</t>
  </si>
  <si>
    <t xml:space="preserve">2026-07-31 Procesos para la contratación de obra e interventoría, pendientes por publicar en SECOP II
2026-06-30 Procesos para la contratación de obra e interventoría, pendientes por publicar en SECOP II
Se realizó reunión con la alcadía de Quibdó en la cual se manifestó la posible adición de recursos por parte del Departamento Administrativo para la Prosperidad Social para la finalización de estudios y diseños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Se emitirá respuesta al ente territorial con concepto sobre los diseños presentados.
2026-02-16. Se realizó envío de oficio de radicado No. S-2026-10000-019960, por presunto incumpliminto contractual de ENterritorio.
</t>
  </si>
  <si>
    <t>CONSTRUCCIÓN DE MUELLE PESQUERO – VEREDA PUEBLO NUEVO</t>
  </si>
  <si>
    <t xml:space="preserve">2026-08-12: En comite Operativo de 17 de julio de 2026, socializo que la necesitdad de la escritura publica y certificado  de tradicion y libertad del predio a intervenir para poder continuar con el proceso de costeo y estructuración del proyecto bajo la modalidad llave en mano acordada en la mesa de trabajo del veintisiete (27) de mayo de dos mil veintiséis (2026) con ENTerritorio S.A.                                                                            2026-06-01                                                                                                                                                  proyecto sin novedades                                                                                                                                                        2026-05-25                                                                                                                                                        Se esta a la espera de definir alcance del proyecto y se propone que este proyecto sea contratado llave en mano (Et1. Consultorio; Et2. Construccion)                                                                                          2026-04-06                                                                                                                                                                 El nueve (9) de marzo de dos mil veintiséis (2026), el Departamento Administrativo para la Prosperidad Social, mediante el oficio S-2026-10000-029796, dirigido al Gerente de Unidad del Grupo de Desarrollo de Proyectos de ENTerritorio S.A., remitió respuesta a las solicitudes de documentación técnica de los Proyectos C539 – Muelle Pesquero Buenaventura. Prosperidad Social informó los avances de estructuración del proyecto C539 (Muelle Buenaventura), informó reuniones con la Gerencia Regional y la Secretaría de Infraestructura, con visita de campo proyectada para la última semana de marzo.                                                                                    2026-02-16. 
Proyecto ingresó en el comité de seguimiento del 26 de diciembre de 2025, con un valor de 2,800,000,000
</t>
  </si>
  <si>
    <t>CAMPOALEGRE</t>
  </si>
  <si>
    <t>1 Km de placa huella Consejo Regional Indígena del Huila (CRIHU)</t>
  </si>
  <si>
    <t>2026-07-31 Procesos para la contratación de obra e interventoría, pendientes por publicar en SECOP II
2026-06-30 Procesos para la contratación de obra e interventoría pendientes de Publicación en SECOP II
2026-06-01 Se envío oficio S-2026-10000-077734 con Requerimiento urgente y advertencia frente a los reiterados retrasos en la estructuración, publicación y avance de procesos contractuales.
2026-04-28. En mesa de trabajo con el Consejo Regional Indígena del Huila se estableció la posibilidad de realizar un convenio entre Prosperidad y el CRIHU una vez levantada la reztricción vigente de ley de garantías.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Procesos de obra e interventoría serán publicados el 13 y 14 de mayo de 2026, respectivamente.
2026-02-16. Se realizó envío de oficio de radicado No. S-2026-10000-019960, por presunto incumpliminto contractual de ENterritorio.</t>
  </si>
  <si>
    <t>PROYECTOS NUEVOS CORPORACIÓN NASA KIWE</t>
  </si>
  <si>
    <t>787-FIP-2025</t>
  </si>
  <si>
    <t>CONSTRUCCION DE PLACA HUELLA EN RESGUARDO INDIGENA DE PIOYA EN MUNICIPIO DE CALDONO EN EL DEPARTAMENTO DEL CAUCA.</t>
  </si>
  <si>
    <r>
      <rPr>
        <b/>
        <sz val="8"/>
        <color rgb="FF000000"/>
        <rFont val="Calibri"/>
        <family val="2"/>
        <scheme val="minor"/>
      </rPr>
      <t xml:space="preserve">2026-07-31: </t>
    </r>
    <r>
      <rPr>
        <sz val="8"/>
        <color rgb="FF000000"/>
        <rFont val="Calibri"/>
        <family val="2"/>
        <scheme val="minor"/>
      </rPr>
      <t xml:space="preserve">En proceso de contratación - estimado de contratación fina lde julio, primera semana de agosto 2026.
Se realiza por el DPS desembolso de recursos a la Fiducia "Fiduciaria Central S.A", el 24/07/2026 
</t>
    </r>
    <r>
      <rPr>
        <b/>
        <sz val="8"/>
        <color rgb="FF000000"/>
        <rFont val="Calibri"/>
        <family val="2"/>
        <scheme val="minor"/>
      </rPr>
      <t xml:space="preserve">2026-07-17: </t>
    </r>
    <r>
      <rPr>
        <sz val="8"/>
        <color rgb="FF000000"/>
        <rFont val="Calibri"/>
        <family val="2"/>
        <scheme val="minor"/>
      </rPr>
      <t xml:space="preserve">En proceso de contratación - estimado de contratación fina lde julio, primera semana de agosto 2026.
En trámite desembolso de recursos
</t>
    </r>
    <r>
      <rPr>
        <b/>
        <sz val="8"/>
        <color rgb="FF000000"/>
        <rFont val="Calibri"/>
        <family val="2"/>
        <scheme val="minor"/>
      </rPr>
      <t xml:space="preserve">2026-06-26: </t>
    </r>
    <r>
      <rPr>
        <sz val="8"/>
        <color rgb="FF000000"/>
        <rFont val="Calibri"/>
        <family val="2"/>
        <scheme val="minor"/>
      </rPr>
      <t xml:space="preserve">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Se iniciará contratación de obra e interventoría después de ley de garantías.
</t>
    </r>
    <r>
      <rPr>
        <b/>
        <sz val="8"/>
        <color rgb="FF000000"/>
        <rFont val="Calibri"/>
        <family val="2"/>
        <scheme val="minor"/>
      </rPr>
      <t>2026-06-12:</t>
    </r>
    <r>
      <rPr>
        <sz val="8"/>
        <color rgb="FF000000"/>
        <rFont val="Calibri"/>
        <family val="2"/>
        <scheme val="minor"/>
      </rPr>
      <t xml:space="preserve"> Se tiene PAC para desembolso mes de junio de 2026.
Se iniciará contratación de obra e interventoría después de ley de garantías.
</t>
    </r>
    <r>
      <rPr>
        <b/>
        <sz val="8"/>
        <color rgb="FF000000"/>
        <rFont val="Calibri"/>
        <family val="2"/>
        <scheme val="minor"/>
      </rPr>
      <t xml:space="preserve">2026-05-29: </t>
    </r>
    <r>
      <rPr>
        <sz val="8"/>
        <color rgb="FF000000"/>
        <rFont val="Calibri"/>
        <family val="2"/>
        <scheme val="minor"/>
      </rPr>
      <t xml:space="preserve">se esta a la espera de la certificación de exoneración del 4*1000, para continuar tramite de desembolso de recursos a la fiducia (Fiduciaria Central S.A).
</t>
    </r>
    <r>
      <rPr>
        <b/>
        <sz val="8"/>
        <color rgb="FF000000"/>
        <rFont val="Calibri"/>
        <family val="2"/>
        <scheme val="minor"/>
      </rPr>
      <t xml:space="preserve">2026-05-22 </t>
    </r>
    <r>
      <rPr>
        <sz val="8"/>
        <color rgb="FF000000"/>
        <rFont val="Calibri"/>
        <family val="2"/>
        <scheme val="minor"/>
      </rPr>
      <t xml:space="preserve">Se recibe la inscripción de la cuenta SIIF, para continuar con proceso de excepción 4*1000, requisito previo solicitar nuevamente el desembolso de recursos a la fiducia. (Fiduciaria Central S.A).
Se iniciará contratación de obra e interventoría después de ley de garantías.
</t>
    </r>
    <r>
      <rPr>
        <b/>
        <sz val="8"/>
        <color rgb="FF000000"/>
        <rFont val="Calibri"/>
        <family val="2"/>
        <scheme val="minor"/>
      </rPr>
      <t xml:space="preserve">2026-05-15 </t>
    </r>
    <r>
      <rPr>
        <sz val="8"/>
        <color rgb="FF000000"/>
        <rFont val="Calibri"/>
        <family val="2"/>
        <scheme val="minor"/>
      </rPr>
      <t xml:space="preserve">Los procesos de contratación para este proyecto continúan pendientes, debido a que aún no se cuenta con el certificado de calamidad pública. Así mismo, se está evaluando la posibilidad de adelantar la contratación de la interventoría y de la obra una vez finalice la Ley de Garantías.
Adicionalmente, no fue posible llegar a un acuerdo con el contratista actual de interventoría para la inclusión de este proyecto; por lo tanto, se adelantará un nuevo proceso de contratación de interventoría.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t>
    </r>
    <r>
      <rPr>
        <b/>
        <sz val="8"/>
        <color rgb="FF000000"/>
        <rFont val="Calibri"/>
        <family val="2"/>
        <scheme val="minor"/>
      </rPr>
      <t xml:space="preserve">2026-05-08 </t>
    </r>
    <r>
      <rPr>
        <sz val="8"/>
        <color rgb="FF000000"/>
        <rFont val="Calibri"/>
        <family val="2"/>
        <scheme val="minor"/>
      </rPr>
      <t>Se realizó la radicación de la solicitud de desembolso de recursos a la Fiducia (Fiduciaria Central S.A.), mediante memorando No. M-2026-40204-021813.
Se solicita a la Corporación la actualización de los documentos administrativos para continuar el trámite de modificación del convenio por cantidades de obra.
Actualmente se encuentra pendiente la expedición de la resolución de declaratoria de emergencia por parte de la Alcaldía, requisito indispensable para continuar con el proceso de contratación de las obras.
2026-04-30. Actualmente se encuentra pendiente la expedición de la resolución de declaratoria de emergencia por parte de la Alcaldía, requisito indispensable para continuar con el proceso de contratación de las obras.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2026-04-24. Se está a la espera de la resolución de declaratoria de emergencia por parte de la Alcaldía, requisito necesario para avanzar con la contratación de las obras.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</si>
  <si>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CONSTRUCCION DE PLACA HUELLA EN EL RESGUARDO INDIGENA DE HUELLAS CALOTO EN EL MUNICIPIO DE CALOTO EN EL DEPARTAMENTO DEL CAUCA</t>
  </si>
  <si>
    <r>
      <rPr>
        <b/>
        <sz val="8"/>
        <color rgb="FF000000"/>
        <rFont val="Calibri"/>
        <family val="2"/>
        <scheme val="minor"/>
      </rPr>
      <t xml:space="preserve">2026-07-31: </t>
    </r>
    <r>
      <rPr>
        <sz val="8"/>
        <color rgb="FF000000"/>
        <rFont val="Calibri"/>
        <family val="2"/>
        <scheme val="minor"/>
      </rPr>
      <t xml:space="preserve">En proceso de contratación - estimado de contratación fina lde julio, primera semana de agosto 2026.
Se realiza por el DPS desembolso de recursos a la Fiducia "Fiduciaria Central S.A", el 24/07/2026 
</t>
    </r>
    <r>
      <rPr>
        <b/>
        <sz val="8"/>
        <color rgb="FF000000"/>
        <rFont val="Calibri"/>
        <family val="2"/>
        <scheme val="minor"/>
      </rPr>
      <t xml:space="preserve">2026-07-17: </t>
    </r>
    <r>
      <rPr>
        <sz val="8"/>
        <color rgb="FF000000"/>
        <rFont val="Calibri"/>
        <family val="2"/>
        <scheme val="minor"/>
      </rPr>
      <t xml:space="preserve">En proceso de contratación - estimado de contratación fina lde julio, primera semana de agosto 2026.
En trámite desembolso de recursos
</t>
    </r>
    <r>
      <rPr>
        <b/>
        <sz val="8"/>
        <color rgb="FF000000"/>
        <rFont val="Calibri"/>
        <family val="2"/>
        <scheme val="minor"/>
      </rPr>
      <t xml:space="preserve">2026-06-26: </t>
    </r>
    <r>
      <rPr>
        <sz val="8"/>
        <color rgb="FF000000"/>
        <rFont val="Calibri"/>
        <family val="2"/>
        <scheme val="minor"/>
      </rPr>
      <t xml:space="preserve">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 Se iniciará contratación de obra e interventoría después de ley de garantías.
</t>
    </r>
    <r>
      <rPr>
        <b/>
        <sz val="8"/>
        <color rgb="FF000000"/>
        <rFont val="Calibri"/>
        <family val="2"/>
        <scheme val="minor"/>
      </rPr>
      <t>2026-06-12</t>
    </r>
    <r>
      <rPr>
        <sz val="8"/>
        <color rgb="FF000000"/>
        <rFont val="Calibri"/>
        <family val="2"/>
        <scheme val="minor"/>
      </rPr>
      <t xml:space="preserve">: Se tiene PAC para desembolso mes de junio de 2026.
Se iniciará contratación de obra e interventoría después de ley de garantías.
</t>
    </r>
    <r>
      <rPr>
        <b/>
        <sz val="8"/>
        <color rgb="FF000000"/>
        <rFont val="Calibri"/>
        <family val="2"/>
        <scheme val="minor"/>
      </rPr>
      <t>2026-05-29</t>
    </r>
    <r>
      <rPr>
        <sz val="8"/>
        <color rgb="FF000000"/>
        <rFont val="Calibri"/>
        <family val="2"/>
        <scheme val="minor"/>
      </rPr>
      <t xml:space="preserve">: se esta a la espera de la certificación de exoneración del 4*1000, para continuar tramite de desembolso de recursos a la fiducia (Fiduciaria Central S.A).
</t>
    </r>
    <r>
      <rPr>
        <b/>
        <sz val="8"/>
        <color rgb="FF000000"/>
        <rFont val="Calibri"/>
        <family val="2"/>
        <scheme val="minor"/>
      </rPr>
      <t xml:space="preserve">2026-05-22 </t>
    </r>
    <r>
      <rPr>
        <sz val="8"/>
        <color rgb="FF000000"/>
        <rFont val="Calibri"/>
        <family val="2"/>
        <scheme val="minor"/>
      </rPr>
      <t>Se recibe la inscripción de la cuenta SIIF, para continuar con proceso de excepción 4*1000, requisito previo solicitar nuevamente el desembolso de recursos a la fiducia. (Fiduciaria Central S.A).
Se iniciará contratación de obra e interventoría después de ley de garantías.
2026-05-15 Los procesos de contratación para este proyecto continúan pendientes, debido a que aún no se cuenta con el certificado de calamidad pública. Así mismo, se está evaluando la posibilidad de adelantar la contratación de la interventoría y de la obra una vez finalice la Ley de Garantías.
Adicionalmente, no fue posible llegar a un acuerdo con el contratista actual de interventoría para la inclusión de este proyecto; por lo tanto, se adelantará un nuevo proceso de contratación de interventoría.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2026-05-08 Se realizó la radicación de la solicitud de desembolso de recursos a la Fiducia (Fiduciaria Central S.A.), mediante memorando No. M-2026-40204-021813.
Se solicita a la Corporación la actualización de los documentos administrativos para continuar el trámite de modificación del convenio por cantidades de obra.
Actualmente se encuentra pendiente la expedición de la resolución de declaratoria de emergencia por parte de la Alcaldía, requisito indispensable para continuar con el proceso de contratación de las obras.
2026-04-30. Se está a la espera de la resolución de declaratoria de emergencia por parte de la Alcaldía, requisito necesario para avanzar con la contratación de las obras.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24-04-2026. Se está a la espera de la resolución de declaratoria de emergencia por parte de la Alcaldía, requisito necesario para avanzar con la contratación de las obras.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</si>
  <si>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CONSTRUCCION DE PLACA HUELLA EN RESGUARDO INDIGENA DE CORINTO EN MUNICIPIO DE CORINTO EN DEPARTAMENTO DEL CAUCA.</t>
  </si>
  <si>
    <r>
      <rPr>
        <b/>
        <sz val="8"/>
        <color rgb="FF000000"/>
        <rFont val="Calibri"/>
        <family val="2"/>
        <scheme val="minor"/>
      </rPr>
      <t>2026-07-31:</t>
    </r>
    <r>
      <rPr>
        <sz val="8"/>
        <color rgb="FF000000"/>
        <rFont val="Calibri"/>
        <family val="2"/>
        <scheme val="minor"/>
      </rPr>
      <t xml:space="preserve"> En proceso de contratación - estimado de contratación fina lde julio, primera semana de agosto 2026.
Se realiza por el DPS desembolso de recursos a la Fiducia "Fiduciaria Central S.A", el 24/07/2026 
</t>
    </r>
    <r>
      <rPr>
        <b/>
        <sz val="8"/>
        <color rgb="FF000000"/>
        <rFont val="Calibri"/>
        <family val="2"/>
        <scheme val="minor"/>
      </rPr>
      <t xml:space="preserve">2026-07-17: </t>
    </r>
    <r>
      <rPr>
        <sz val="8"/>
        <color rgb="FF000000"/>
        <rFont val="Calibri"/>
        <family val="2"/>
        <scheme val="minor"/>
      </rPr>
      <t xml:space="preserve">En proceso de contratación - estimado de contratación fina lde julio, primera semana de agosto 2026.
En trámite desembolso de recursos
</t>
    </r>
    <r>
      <rPr>
        <b/>
        <sz val="8"/>
        <color rgb="FF000000"/>
        <rFont val="Calibri"/>
        <family val="2"/>
        <scheme val="minor"/>
      </rPr>
      <t xml:space="preserve">2026-06-26: </t>
    </r>
    <r>
      <rPr>
        <sz val="8"/>
        <color rgb="FF000000"/>
        <rFont val="Calibri"/>
        <family val="2"/>
        <scheme val="minor"/>
      </rPr>
      <t>Se firma modificación N°1 al anexo técnico 
Se esta a la espera del desembolso por Hacienda a la Fiducia (Fiduciaria Central S.A</t>
    </r>
    <r>
      <rPr>
        <b/>
        <sz val="8"/>
        <color rgb="FF000000"/>
        <rFont val="Calibri"/>
        <family val="2"/>
        <scheme val="minor"/>
      </rPr>
      <t xml:space="preserve">)
2026-06-19: </t>
    </r>
    <r>
      <rPr>
        <sz val="8"/>
        <color rgb="FF000000"/>
        <rFont val="Calibri"/>
        <family val="2"/>
        <scheme val="minor"/>
      </rPr>
      <t xml:space="preserve"> Se iniciará contratación de obra e interventoría después de ley de garantías</t>
    </r>
    <r>
      <rPr>
        <b/>
        <sz val="8"/>
        <color rgb="FF000000"/>
        <rFont val="Calibri"/>
        <family val="2"/>
        <scheme val="minor"/>
      </rPr>
      <t xml:space="preserve">.
2026-06-12: </t>
    </r>
    <r>
      <rPr>
        <sz val="8"/>
        <color rgb="FF000000"/>
        <rFont val="Calibri"/>
        <family val="2"/>
        <scheme val="minor"/>
      </rPr>
      <t xml:space="preserve">Se tiene PAC para desembolso mes de junio de 2026.
Se iniciará contratación de obra e interventoría después de ley de garantías.
</t>
    </r>
    <r>
      <rPr>
        <b/>
        <sz val="8"/>
        <color rgb="FF000000"/>
        <rFont val="Calibri"/>
        <family val="2"/>
        <scheme val="minor"/>
      </rPr>
      <t xml:space="preserve">2026-05-29: </t>
    </r>
    <r>
      <rPr>
        <sz val="8"/>
        <color rgb="FF000000"/>
        <rFont val="Calibri"/>
        <family val="2"/>
        <scheme val="minor"/>
      </rPr>
      <t xml:space="preserve">se esta a la espera de la certificación de exoneración del 4*1000, para continuar tramite de desembolso de recursos a la fiducia (Fiduciaria Central S.A).
</t>
    </r>
    <r>
      <rPr>
        <b/>
        <sz val="8"/>
        <color rgb="FF000000"/>
        <rFont val="Calibri"/>
        <family val="2"/>
        <scheme val="minor"/>
      </rPr>
      <t xml:space="preserve">2026-05-22 </t>
    </r>
    <r>
      <rPr>
        <sz val="8"/>
        <color rgb="FF000000"/>
        <rFont val="Calibri"/>
        <family val="2"/>
        <scheme val="minor"/>
      </rPr>
      <t>Se recibe la inscripción de la cuenta SIIF, para continuar con proceso de excepción 4*1000, requisito previo solicitar nuevamente el desembolso de recursos a la fiducia. (Fiduciaria Central S.A).
Se iniciará contratación de obra e interventoría después de ley de garantías.
2026-05-15 Los procesos de contratación para este proyecto continúan pendientes, debido a que aún no se cuenta con el certificado de calamidad pública. Así mismo, se está evaluando la posibilidad de adelantar la contratación de la interventoría y de la obra una vez finalice la Ley de Garantías.
Adicionalmente, no fue posible llegar a un acuerdo con el contratista actual de interventoría para la inclusión de este proyecto; por lo tanto, se adelantará un nuevo proceso de contratación de interventoría.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2026-05-08 Se realizó la radicación de la solicitud de desembolso de recursos a la Fiducia (Fiduciaria Central S.A.), mediante memorando No. M-2026-40204-021813.
Se solicita a la Corporación la actualización de los documentos administrativos para continuar el trámite de modificación del convenio por cantidades de obra.
Actualmente se encuentra pendiente la expedición de la resolución de declaratoria de emergencia por parte de la Alcaldía, requisito indispensable para continuar con el proceso de contratación de las obras.
2026-04-30. Se está a la espera de la resolución de declaratoria de emergencia por parte de la Alcaldía, requisito necesario para avanzar con la contratación de las obras.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24-04-2026. Se está a la espera de la resolución de declaratoria de emergencia por parte de la Alcaldía, requisito necesario para avanzar con la contratación de las obras.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</si>
  <si>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CONSTRUCCION DE PLACA HUELLA EN RESGUARDO INDIGENA DE JAMBALO EN MUNICIPIO DE JAMBALO EN DEPARTAMENTO DEL CAUCA</t>
  </si>
  <si>
    <r>
      <rPr>
        <b/>
        <sz val="8"/>
        <color rgb="FF000000"/>
        <rFont val="Calibri"/>
        <family val="2"/>
        <scheme val="minor"/>
      </rPr>
      <t xml:space="preserve">2026-07-31: </t>
    </r>
    <r>
      <rPr>
        <sz val="8"/>
        <color rgb="FF000000"/>
        <rFont val="Calibri"/>
        <family val="2"/>
        <scheme val="minor"/>
      </rPr>
      <t xml:space="preserve">En proceso de contratación - estimado de contratación fina lde julio, primera semana de agosto 2026.
Se realiza por el DPS desembolso de recursos a la Fiducia "Fiduciaria Central S.A", el 24/07/2026 
</t>
    </r>
    <r>
      <rPr>
        <b/>
        <sz val="8"/>
        <color rgb="FF000000"/>
        <rFont val="Calibri"/>
        <family val="2"/>
        <scheme val="minor"/>
      </rPr>
      <t xml:space="preserve">2026-07-17: </t>
    </r>
    <r>
      <rPr>
        <sz val="8"/>
        <color rgb="FF000000"/>
        <rFont val="Calibri"/>
        <family val="2"/>
        <scheme val="minor"/>
      </rPr>
      <t xml:space="preserve">En proceso de contratación - estimado de contratación fina lde julio, primera semana de agosto 2026.
En trámite desembolso de recursos
</t>
    </r>
    <r>
      <rPr>
        <b/>
        <sz val="8"/>
        <color rgb="FF000000"/>
        <rFont val="Calibri"/>
        <family val="2"/>
        <scheme val="minor"/>
      </rPr>
      <t xml:space="preserve">2026-06-26: </t>
    </r>
    <r>
      <rPr>
        <sz val="8"/>
        <color rgb="FF000000"/>
        <rFont val="Calibri"/>
        <family val="2"/>
        <scheme val="minor"/>
      </rPr>
      <t xml:space="preserve">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Se iniciará contratación de obra e interventoría después de ley de garantías.
</t>
    </r>
    <r>
      <rPr>
        <b/>
        <sz val="8"/>
        <color rgb="FF000000"/>
        <rFont val="Calibri"/>
        <family val="2"/>
        <scheme val="minor"/>
      </rPr>
      <t>2026-06-12:</t>
    </r>
    <r>
      <rPr>
        <sz val="8"/>
        <color rgb="FF000000"/>
        <rFont val="Calibri"/>
        <family val="2"/>
        <scheme val="minor"/>
      </rPr>
      <t xml:space="preserve"> Se tiene PAC para desembolso mes de junio de 2026.
Se iniciará contratación de obra e interventoría después de ley de garantías.
</t>
    </r>
    <r>
      <rPr>
        <b/>
        <sz val="8"/>
        <color rgb="FF000000"/>
        <rFont val="Calibri"/>
        <family val="2"/>
        <scheme val="minor"/>
      </rPr>
      <t>2026-05-29</t>
    </r>
    <r>
      <rPr>
        <sz val="8"/>
        <color rgb="FF000000"/>
        <rFont val="Calibri"/>
        <family val="2"/>
        <scheme val="minor"/>
      </rPr>
      <t xml:space="preserve">: se esta a la espera de la certificación de exoneración del 4*1000, para continuar tramite de desembolso de recursos a la fiducia (Fiduciaria Central S.A).
</t>
    </r>
    <r>
      <rPr>
        <b/>
        <sz val="8"/>
        <color rgb="FF000000"/>
        <rFont val="Calibri"/>
        <family val="2"/>
        <scheme val="minor"/>
      </rPr>
      <t>2026-05-22</t>
    </r>
    <r>
      <rPr>
        <sz val="8"/>
        <color rgb="FF000000"/>
        <rFont val="Calibri"/>
        <family val="2"/>
        <scheme val="minor"/>
      </rPr>
      <t xml:space="preserve"> Se recibe la inscripción de la cuenta SIIF, para continuar con proceso de excepción 4*1000, requisito previo solicitar nuevamente el desembolso de recursos a la fiducia. (Fiduciaria Central S.A).
Se iniciará contratación de obra e interventoría después de ley de garantías.
2026-05-15 Los procesos de contratación para este proyecto continúan pendientes, debido a que aún no se cuenta con el certificado de calamidad pública. Así mismo, se está evaluando la posibilidad de adelantar la contratación de la interventoría y de la obra una vez finalice la Ley de Garantías.
Adicionalmente, no fue posible llegar a un acuerdo con el contratista actual de interventoría para la inclusión de este proyecto; por lo tanto, se adelantará un nuevo proceso de contratación de interventoría.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2026-05-08 Se realizó la radicación de la solicitud de desembolso de recursos a la Fiducia (Fiduciaria Central S.A.), mediante memorando No. M-2026-40204-021813. 
Se solicita a la Corporación la actualización de los documentos administrativos para continuar el trámite de modificación del convenio por cantidades de obra.
Actualmente se encuentra pendiente la expedición de la resolución de declaratoria de emergencia por parte de la Alcaldía, requisito indispensable para continuar con el proceso de contratación de las obras.   
2026-04-30. Se está a la espera de la resolución de declaratoria de emergencia por parte de la Alcaldía, requisito necesario para avanzar con la contratación de las obras.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2026-04-24. Se está a la espera de la resolución de declaratoria de emergencia por parte de la Alcaldía, requisito necesario para avanzar con la contratación de las obras.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</si>
  <si>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Páez</t>
  </si>
  <si>
    <t>CONSTRUCCION DE PLACA HUELLA EN EL RESGUARDO INDIGENA DE SUIN EN EL MUNICIPIO DE PAEZ EN EL DEPARTAMENTO DEL CAUCA</t>
  </si>
  <si>
    <r>
      <rPr>
        <b/>
        <sz val="8"/>
        <color rgb="FF000000"/>
        <rFont val="Calibri"/>
        <family val="2"/>
        <scheme val="minor"/>
      </rPr>
      <t>2026-07-31:</t>
    </r>
    <r>
      <rPr>
        <sz val="8"/>
        <color rgb="FF000000"/>
        <rFont val="Calibri"/>
        <family val="2"/>
        <scheme val="minor"/>
      </rPr>
      <t xml:space="preserve"> La obra presenta un avance físico del ejecutado 23,73 % y proyectado de2,47% 
Se realiza por el DPS desembolso de recursos a la Fiducia "Fiduciaria Central S.A).
</t>
    </r>
    <r>
      <rPr>
        <b/>
        <sz val="8"/>
        <color rgb="FF000000"/>
        <rFont val="Calibri"/>
        <family val="2"/>
        <scheme val="minor"/>
      </rPr>
      <t xml:space="preserve">2026-07-17: </t>
    </r>
    <r>
      <rPr>
        <sz val="8"/>
        <color rgb="FF000000"/>
        <rFont val="Calibri"/>
        <family val="2"/>
        <scheme val="minor"/>
      </rPr>
      <t xml:space="preserve">Se firma acta de inicio 22/06/2026- Avance fisico 0.0% suminstro de materiales
En trámite desembolso de recursos
</t>
    </r>
    <r>
      <rPr>
        <b/>
        <sz val="8"/>
        <color rgb="FF000000"/>
        <rFont val="Calibri"/>
        <family val="2"/>
        <scheme val="minor"/>
      </rPr>
      <t>2026-06-26:</t>
    </r>
    <r>
      <rPr>
        <sz val="8"/>
        <color rgb="FF000000"/>
        <rFont val="Calibri"/>
        <family val="2"/>
        <scheme val="minor"/>
      </rPr>
      <t xml:space="preserve"> 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La Corporación esta adelantando el trámite para la contratación de obra para este tramo. 
</t>
    </r>
    <r>
      <rPr>
        <b/>
        <sz val="8"/>
        <color rgb="FF000000"/>
        <rFont val="Calibri"/>
        <family val="2"/>
        <scheme val="minor"/>
      </rPr>
      <t>2026-06-12:</t>
    </r>
    <r>
      <rPr>
        <sz val="8"/>
        <color rgb="FF000000"/>
        <rFont val="Calibri"/>
        <family val="2"/>
        <scheme val="minor"/>
      </rPr>
      <t xml:space="preserve"> Se tiene PAC para desembolso de recursos mes de junio 2026
La Corporación esta adelantando el trámite para la contratación de obra para este tramo-Se espera que este lista la semana del 16 de junio de 2026.
</t>
    </r>
    <r>
      <rPr>
        <b/>
        <sz val="8"/>
        <color rgb="FF000000"/>
        <rFont val="Calibri"/>
        <family val="2"/>
        <scheme val="minor"/>
      </rPr>
      <t xml:space="preserve">2026-05-29: </t>
    </r>
    <r>
      <rPr>
        <sz val="8"/>
        <color rgb="FF000000"/>
        <rFont val="Calibri"/>
        <family val="2"/>
        <scheme val="minor"/>
      </rPr>
      <t xml:space="preserve">Se está a la espera de la certificación de exoneración del 4x1000 por el ministerio de Hacienda para continuar con el trámite de desembolso de recursos a la Fiduciaria Central S.A.
La interventoría envió los informes de la revisión de los estudios y diseños, y dio visto bueno y autorizó continuar con el proceso de contratación de obra.
</t>
    </r>
    <r>
      <rPr>
        <b/>
        <sz val="8"/>
        <color rgb="FF000000"/>
        <rFont val="Calibri"/>
        <family val="2"/>
        <scheme val="minor"/>
      </rPr>
      <t xml:space="preserve">2026-05-22 </t>
    </r>
    <r>
      <rPr>
        <sz val="8"/>
        <color rgb="FF000000"/>
        <rFont val="Calibri"/>
        <family val="2"/>
        <scheme val="minor"/>
      </rPr>
      <t xml:space="preserve">Se recibe la inscripción de la cuenta SIIF, para continuar con proceso de excepción 4*1000, requisito previo solicitar nuevamente el desembolso de recursos a la fiducia. (Fiduciaria Central S.A).
La interventoría se encuentra finalizando la revisión de los estudios y diseños y, una vez concluya, emitirá el respectivo concepto. En este caso particular, los costos de acarreo aumentaron, por lo que se está revisando detalladamente si, con el análisis de alternativas realizado, el presupuesto continúa siendo viable o si es necesario efectuar algún ajuste
</t>
    </r>
    <r>
      <rPr>
        <b/>
        <sz val="8"/>
        <color rgb="FF000000"/>
        <rFont val="Calibri"/>
        <family val="2"/>
        <scheme val="minor"/>
      </rPr>
      <t xml:space="preserve">26-05-15 </t>
    </r>
    <r>
      <rPr>
        <sz val="8"/>
        <color rgb="FF000000"/>
        <rFont val="Calibri"/>
        <family val="2"/>
        <scheme val="minor"/>
      </rPr>
      <t xml:space="preserve">La revisión de los estudios y diseños de este proyecto presenta un avance aproximado del 80 %, dado que aún deben analizarse otros factores identificados en campo, tales como el acarreo de materiales. Debido a la temporada de lluvias, el puente de Avirama, que comunica el resguardo, fue arrasado por la creciente, lo que actualmente limita la comunicación y el acceso al sector. Por lo anterior, deberán evaluarse alternativas para el transporte y suministro de materiales hacia la zona de intervención.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t>
    </r>
    <r>
      <rPr>
        <b/>
        <sz val="8"/>
        <color rgb="FF000000"/>
        <rFont val="Calibri"/>
        <family val="2"/>
        <scheme val="minor"/>
      </rPr>
      <t>2026-05-08</t>
    </r>
    <r>
      <rPr>
        <sz val="8"/>
        <color rgb="FF000000"/>
        <rFont val="Calibri"/>
        <family val="2"/>
        <scheme val="minor"/>
      </rPr>
      <t>. Se realizó la radicación de la solicitud de desembolso de recursos a la Fiducia (Fiduciaria Central S.A.), mediante memorando No. M-2026-40204-021813.
Así mismo, la interventoría (Cto. No. 089-26) adelanta la revisión de los estudios y diseños para emitir la validación y concepto fase III requeridos para el inicio de la obra, conforme a lo establecido en la cláusula 4.2, numeral 29, de las obligaciones de la Corporación.
Se solicita a la Corporación la actualización de los documentos administrativos para continuar el trámite de modificación del convenio por cantidades de obra.
2026-04-30: Se realizó capacitación sobre el componente social dirigida a la Corporación Nasa Kiwe y a la interventoría del Contrato 089-26. 
 . La Corporación presentó el informe de reconocimiento de las áreas a intervenir, evidenciando la necesidad de obras para mejorar la accesibilidad; no obstante, la interventoría advirtió posibles desequilibrios económicos por el aumento del salario mínimo y las condiciones de orden público, por lo que solicitó una mesa de trabajo para revisar los APU’s y definir acciones frente a esta situación.
De igual manera, se informa que ya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2026-04-24: Se contrata la interventoria para el seguimiento técnico, administrativo, financiero y social para la construcción de placa Huella.
. Visita técnica el 22 de abril 2026 para verificación en campo e inicio del control técnico.
.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t>
    </r>
  </si>
  <si>
    <t>TIMBIQUÍ</t>
  </si>
  <si>
    <t>2026-02-16 - Incumplimiento de compromisos, vía, tala de árboles y trabajo social.</t>
  </si>
  <si>
    <t>SILVIA</t>
  </si>
  <si>
    <t>CONSTRUCCION DE PLACA HUELLA EN EL RESGUARDO INDIGENA DE QUICHAYA EN EL MUNICIPIO DE SILVIA EN EL DEPARTAMENTO DEL CAUCA</t>
  </si>
  <si>
    <r>
      <rPr>
        <b/>
        <sz val="8"/>
        <color rgb="FF000000"/>
        <rFont val="Calibri"/>
        <family val="2"/>
        <scheme val="minor"/>
      </rPr>
      <t>2026-07-31:</t>
    </r>
    <r>
      <rPr>
        <sz val="8"/>
        <color rgb="FF000000"/>
        <rFont val="Calibri"/>
        <family val="2"/>
        <scheme val="minor"/>
      </rPr>
      <t xml:space="preserve"> La obra presenta un avance físico del ejecutado7,9 % y proyectado de 30.41% 
Se realiza por el DPS desembolso de recursos a la Fiducia "Fiduciaria Central S.A), el 24/07/2026
</t>
    </r>
    <r>
      <rPr>
        <b/>
        <sz val="8"/>
        <color rgb="FF000000"/>
        <rFont val="Calibri"/>
        <family val="2"/>
        <scheme val="minor"/>
      </rPr>
      <t xml:space="preserve">2026-07-17: </t>
    </r>
    <r>
      <rPr>
        <sz val="8"/>
        <color rgb="FF000000"/>
        <rFont val="Calibri"/>
        <family val="2"/>
        <scheme val="minor"/>
      </rPr>
      <t xml:space="preserve">Se firma acta de inicio 16/06/2026- Avance fisico 7.9%
En trámite desembolso de recursos
</t>
    </r>
    <r>
      <rPr>
        <b/>
        <sz val="8"/>
        <color rgb="FF000000"/>
        <rFont val="Calibri"/>
        <family val="2"/>
        <scheme val="minor"/>
      </rPr>
      <t xml:space="preserve">2026-06-26: </t>
    </r>
    <r>
      <rPr>
        <sz val="8"/>
        <color rgb="FF000000"/>
        <rFont val="Calibri"/>
        <family val="2"/>
        <scheme val="minor"/>
      </rPr>
      <t xml:space="preserve">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Se suscribe  acta de inicio del 16 de junio de 2026.
</t>
    </r>
    <r>
      <rPr>
        <b/>
        <sz val="8"/>
        <color rgb="FF000000"/>
        <rFont val="Calibri"/>
        <family val="2"/>
        <scheme val="minor"/>
      </rPr>
      <t>2026-06-12:</t>
    </r>
    <r>
      <rPr>
        <sz val="8"/>
        <color rgb="FF000000"/>
        <rFont val="Calibri"/>
        <family val="2"/>
        <scheme val="minor"/>
      </rPr>
      <t xml:space="preserve"> Se tiene PAC para desembolso de recursos mes de junio 2026
Contratación de obra mediante suscripción de contrato  No. 173 de 2026, cuyo objeto es:” Realizar la construcción de  placa  huella  en  los  resguardos  indígenas  de  Kizgó,  Ambaló  y Quichaya  en  el  municipio  de  Silvia  departamento  del  Cauca”. Contratista: Consorcio Silvia 2026. (1/06/2026)
2026-05-29: Se está a la espera de la certificación de exoneración del 4x1000 por el ministerio de Hacienda para continuar con el trámite de desembolso de recursos a la Fiduciaria Central S.A.
Se reprogramaron las visitas de socialización del proyecto debido a situaciones de orden público en la zona.
2026-05-22: Se recibe la inscripción de la cuenta SIIF, para continuar con proceso de excepción 4*1000, requisito previo solicitar nuevamente el desembolso de recursos a la fiducia. (Fiduciaria Central S.A).
La interventoría dio visto bueno a los estudios y diseños; por lo cual, se iniciará el proceso de contratación de obra, proyectando el cierre del proceso mediante contratación directa para el próximo 27 de mayo de 2026.
2026-05-15 El proyecto cuenta con el 100 % de revisión de los diseños y actualmente se encuentra en etapa de maduración alta. Así mismo, la interventoría emitió aprobación para el inicio de obra. Por lo anterior, se dará inicio al proceso de contratación y se estima que, para la última semana de mayo, el contratista se encuentre vinculado, se suscriba el acta de inicio correspondiente y comiencen las actividades de ejecución de obra en en el tramo proyectado.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2026-05-08. Se realizó la radicación de la solicitud de desembolso de recursos a la Fiducia (Fiduciaria Central S.A.), mediante memorando No. M-2026-40204-021813.
Así mismo, la interventoría (Cto. No. 089-26) adelanta la revisión de los estudios y diseños para emitir la validación y concepto fase III requeridos para el inicio de la obra, conforme a lo establecido en la cláusula 4.2, numeral 29, de las obligaciones de la Corporación. 
Se solicita a la Corporación la actualización de los documentos administrativos para continuar el trámite de modificación del convenio por cantidades de obra.
2026-04-30: Se realizó capacitación sobre el componente social dirigida a la Corporación Nasa Kiwe y a la interventoría del Contrato 089-26. 
 . La Corporación presentó el informe de reconocimiento de las áreas a intervenir, evidenciando la necesidad de obras para mejorar la accesibilidad; no obstante, la interventoría advirtió posibles desequilibrios económicos por el aumento del salario mínimo y las condiciones de orden público, por lo que solicitó una mesa de trabajo para revisar los APU’s y definir acciones frente a esta situación.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2026-04-24: Se contrata la interventoria para el seguimiento técnico, administrativo, financiero y social para la construcción de placa Huella.
. Visita técnica el 21 de abril 2026 para verificación en campo e inicio del control técnico.
.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</si>
  <si>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CONSTRUCCION DE PLACA HUELLA EN EL RESGUARDO INDIGENA DE KIZGO EN EL MUNICIPIO DE SILVIA EN EL DEPARTAMENTO DE CAUCA</t>
  </si>
  <si>
    <r>
      <rPr>
        <b/>
        <sz val="8"/>
        <color rgb="FF000000"/>
        <rFont val="Calibri"/>
        <family val="2"/>
        <scheme val="minor"/>
      </rPr>
      <t xml:space="preserve">2026-07-31: </t>
    </r>
    <r>
      <rPr>
        <sz val="8"/>
        <color rgb="FF000000"/>
        <rFont val="Calibri"/>
        <family val="2"/>
        <scheme val="minor"/>
      </rPr>
      <t xml:space="preserve">La obra presenta un avance físico del ejecutado 18,06 % y proyectado de 44% 
Se realiza por el DPS desembolso de recursos a la Fiducia "Fiduciaria Central S.A), el 24/07/2026
</t>
    </r>
    <r>
      <rPr>
        <b/>
        <sz val="8"/>
        <color rgb="FF000000"/>
        <rFont val="Calibri"/>
        <family val="2"/>
        <scheme val="minor"/>
      </rPr>
      <t xml:space="preserve">2026-07-17: </t>
    </r>
    <r>
      <rPr>
        <sz val="8"/>
        <color rgb="FF000000"/>
        <rFont val="Calibri"/>
        <family val="2"/>
        <scheme val="minor"/>
      </rPr>
      <t xml:space="preserve">Se firma acta de inicio 16/06/2026- Avance fisico 7.9%
En trámite desembolso de recursos
</t>
    </r>
    <r>
      <rPr>
        <b/>
        <sz val="8"/>
        <color rgb="FF000000"/>
        <rFont val="Calibri"/>
        <family val="2"/>
        <scheme val="minor"/>
      </rPr>
      <t xml:space="preserve">2026-06-26: </t>
    </r>
    <r>
      <rPr>
        <sz val="8"/>
        <color rgb="FF000000"/>
        <rFont val="Calibri"/>
        <family val="2"/>
        <scheme val="minor"/>
      </rPr>
      <t xml:space="preserve">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Se suscribe  acta de inicio del 16 de junio de 2026.
</t>
    </r>
    <r>
      <rPr>
        <b/>
        <sz val="8"/>
        <color rgb="FF000000"/>
        <rFont val="Calibri"/>
        <family val="2"/>
        <scheme val="minor"/>
      </rPr>
      <t>2026-06-12:</t>
    </r>
    <r>
      <rPr>
        <sz val="8"/>
        <color rgb="FF000000"/>
        <rFont val="Calibri"/>
        <family val="2"/>
        <scheme val="minor"/>
      </rPr>
      <t xml:space="preserve"> Se tiene PAC para desembolso de recursos mes de junio 2026
Contratación de obra mediante suscripción de contrato  No. 173 de 2026, cuyo objeto es:” Realizar la construcción de  placa  huella  en  los  resguardos  indígenas  de  Kizgó,  Ambaló  y Quichaya  en  el  municipio  de  Silvia  departamento  del  Cauca”. Contratista: Consorcio Silvia 2026. (1/06/2026)
2026-05-29: Se está a la espera de la certificación de exoneración del 4x1000 por el ministerio de Hacienda para continuar con el trámite de desembolso de recursos a la Fiduciaria Central S.A.
Se reprogramaron las visitas de socialización del proyecto debido a situaciones de orden público en la zona.
2026-05-22: Se recibe la inscripción de la cuenta SIIF, para continuar con proceso de excepción 4*1000, requisito previo solicitar nuevamente el desembolso de recursos a la fiducia. (Fiduciaria Central S.A).
La interventoría dio visto bueno a los estudios y diseños; por lo cual, se iniciará el proceso de contratación de obra, proyectando el cierre del proceso mediante contratación directa para el próximo 27 de mayo de 2026.
2026-05-15 El proyecto cuenta con el 100 % de revisión de los diseños y actualmente se encuentra en etapa de maduración alta. Así mismo, la interventoría emitió aprobación para el inicio de obra. Por lo anterior, se dará inicio al proceso de contratación y se estima que, para la última semana de mayo, el contratista se encuentre vinculado, se suscriba el acta de inicio correspondiente y comiencen las actividades de ejecución de obra en en el tramo proyectado.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2026-05-08. Se realizó la radicación de la solicitud de desembolso de recursos a la Fiducia (Fiduciaria Central S.A.), mediante memorando No. M-2026-40204-021813.
Así mismo, la interventoría (Cto. No. 089-26) adelanta la revisión de los estudios y diseños para emitir la validación y concepto fase III requeridos para el inicio de la obra, conforme a lo establecido en la cláusula 4.2, numeral 29, de las obligaciones de la Corporación.
Se solicita a la Corporación la actualización de los documentos administrativos para continuar el trámite de modificación del convenio por cantidades de obra.
2026-04-30: Se realizó capacitación sobre el componente social dirigida a la Corporación Nasa Kiwe y a la interventoría del Contrato 089-26. 
 . La Corporación presentó el informe de reconocimiento de las áreas a intervenir, evidenciando la necesidad de obras para mejorar la accesibilidad; no obstante, la interventoría advirtió posibles desequilibrios económicos por el aumento del salario mínimo y las condiciones de orden público, por lo que solicitó una mesa de trabajo para revisar los APU’s y definir acciones frente a esta situación.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2026-04-24: Se contrata la interventoria para el seguimiento técnico, administrativo, financiero y social para la construcción de placa Huella.
. Visita técnica el 21 de abril 2026 para verificación en campo e inicio del control técnico.
.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</si>
  <si>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CONSTRUCCION DE PLACA HUELLA EN EL RESGUARDO INDIGENA DE AMBALO EN EL MUNICIPIO DE SILVIA EN EL DEPARTAMENTO DEL CAUCA</t>
  </si>
  <si>
    <r>
      <rPr>
        <b/>
        <sz val="8"/>
        <color rgb="FF000000"/>
        <rFont val="Calibri"/>
        <family val="2"/>
        <scheme val="minor"/>
      </rPr>
      <t xml:space="preserve">2026-07-31: </t>
    </r>
    <r>
      <rPr>
        <sz val="8"/>
        <color rgb="FF000000"/>
        <rFont val="Calibri"/>
        <family val="2"/>
        <scheme val="minor"/>
      </rPr>
      <t xml:space="preserve">La obra presenta un avance físico del ejecutado 20,25 % y proyectado de 41,98% 
Se realiza por el DPS desembolso de recursos a la Fiducia "Fiduciaria Central S.A), el 24/07/2026
</t>
    </r>
    <r>
      <rPr>
        <b/>
        <sz val="8"/>
        <color rgb="FF000000"/>
        <rFont val="Calibri"/>
        <family val="2"/>
        <scheme val="minor"/>
      </rPr>
      <t>2026-07-17:</t>
    </r>
    <r>
      <rPr>
        <sz val="8"/>
        <color rgb="FF000000"/>
        <rFont val="Calibri"/>
        <family val="2"/>
        <scheme val="minor"/>
      </rPr>
      <t xml:space="preserve"> Se firma acta de inicio 16/06/2026- Avance fisico 7.9%
En trámite desembolso de recursos
</t>
    </r>
    <r>
      <rPr>
        <b/>
        <sz val="8"/>
        <color rgb="FF000000"/>
        <rFont val="Calibri"/>
        <family val="2"/>
        <scheme val="minor"/>
      </rPr>
      <t xml:space="preserve">2026-06-26: </t>
    </r>
    <r>
      <rPr>
        <sz val="8"/>
        <color rgb="FF000000"/>
        <rFont val="Calibri"/>
        <family val="2"/>
        <scheme val="minor"/>
      </rPr>
      <t xml:space="preserve">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Se suscribe  acta de inicio del 16 de junio de 2026.
</t>
    </r>
    <r>
      <rPr>
        <b/>
        <sz val="8"/>
        <color rgb="FF000000"/>
        <rFont val="Calibri"/>
        <family val="2"/>
        <scheme val="minor"/>
      </rPr>
      <t xml:space="preserve">2026-06-12: </t>
    </r>
    <r>
      <rPr>
        <sz val="8"/>
        <color rgb="FF000000"/>
        <rFont val="Calibri"/>
        <family val="2"/>
        <scheme val="minor"/>
      </rPr>
      <t xml:space="preserve">Se tiene PAC para desembolso de recursos mes de junio 2026
Contratación de obra mediante suscripción de contrato  No. 173 de 2026, cuyo objeto es:” Realizar la construcción de  placa  huella  en  los  resguardos  indígenas  de  Kizgó,  Ambaló  y Quichaya  en  el  municipio  de  Silvia  departamento  del  Cauca”. Contratista: Consorcio Silvia 2026. (1/06/2026)
</t>
    </r>
    <r>
      <rPr>
        <b/>
        <sz val="8"/>
        <color rgb="FF000000"/>
        <rFont val="Calibri"/>
        <family val="2"/>
        <scheme val="minor"/>
      </rPr>
      <t>2026-05-29:</t>
    </r>
    <r>
      <rPr>
        <sz val="8"/>
        <color rgb="FF000000"/>
        <rFont val="Calibri"/>
        <family val="2"/>
        <scheme val="minor"/>
      </rPr>
      <t xml:space="preserve"> Se está a la espera de la certificación de exoneración del 4x1000 por el ministerio de Hacienda para continuar con el trámite de desembolso de recursos a la Fiduciaria Central S.A.
Se reprogramaron las visitas de socialización del proyecto debido a situaciones de orden público en la zona.
2026-05-22: Se recibe la inscripción de la cuenta SIIF, para continuar con proceso de excepción 4*1000, requisito previo solicitar nuevamente el desembolso de recursos a la fiducia. (Fiduciaria Central S.A).
La interventoría dio visto bueno a los estudios y diseños; por lo cual, se iniciará el proceso de contratación de obra, proyectando el cierre del proceso mediante contratación directa para el próximo 27 de mayo de 2026.
2026-05-15 El proyecto cuenta con el 100 % de revisión de los diseños y actualmente se encuentra en etapa de maduración alta. Así mismo, la interventoría emitió aprobación para el inicio de obra. Por lo anterior, se dará inicio al proceso de contratación y se estima que, para la última semana de mayo, el contratista se encuentre vinculado, se suscriba el acta de inicio correspondiente y comiencen las actividades de ejecución de obra en en el tramo proyectado.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2026-05-08. Se realizó la radicación de la solicitud de desembolso de recursos a la Fiducia (Fiduciaria Central S.A.), mediante memorando No. M-2026-40204-021813.
Así mismo, la interventoría (Cto. No. 089-26) adelanta la revisión de los estudios y diseños para emitir la validación y concepto fase III requeridos para el inicio de la obra, conforme a lo establecido en la cláusula 4.2, numeral 29, de las obligaciones de la Corporación.
Se solicita a la Corporación la actualización de los documentos administrativos para continuar el trámite de modificación del convenio por cantidades de obra.
2026-04-30: Se realizó capacitación sobre el componente social dirigida a la Corporación Nasa Kiwe y a la interventoría del Contrato 089-26. 
 . La Corporación presentó el informe de reconocimiento de las áreas a intervenir, evidenciando la necesidad de obras para mejorar la accesibilidad; no obstante, la interventoría advirtió posibles desequilibrios económicos por el aumento del salario mínimo y las condiciones de orden público, por lo que solicitó una mesa de trabajo para revisar los APU’s y definir acciones frente a esta situación.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2026-04-24: Se contrata la interventoria para el seguimiento técnico, administrativo, financiero y social para la construcción de placa Huella.
. Visita técnica el 21 de abril 2026 para verificación en campo e inicio del control técnico.
.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</si>
  <si>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338-DPS-2025</t>
  </si>
  <si>
    <t>TERMINACIÓN "ADECUACIÓN Y REMODELACIÓN DE LAS INSTALACIONES DE LA PLAZA DE MERCADO DEL MUNICIPIO DE TORO - VALLE DEL CAUCA" DEL CONVENIO INICIAL # 524-FIP-2021, ID PROYECTO # 12415</t>
  </si>
  <si>
    <t>2026-05-19. Pendientes remitir documentación para iniciar proceso de liquidación de convenio inicial.
2026-04-28. Resultado de las mesas técnico-Jurídica se determinó ruta de Subsanación de condiciones para liquidación del convenio interadministrativo.
2024-04-14. Contrato suspendido sin acta de cierre y existencia de acción popular. A pesar de ello, se mantiene la recomendación de avanzar en la liquidación del convenio.
2026-03-09. Proyecto se encuentra en etapa de diagnóstico por parte de E.T. con el objetivo de conocer el estado actual de la obra.
2025-02-16. Se plantea la realización de visita técnica para diagnóstico y pertinencia.</t>
  </si>
  <si>
    <t>TORIBíO</t>
  </si>
  <si>
    <t>CONSTRUCCION DE PLACA HUELLA EN EL RESGUARDO INDIGENA DE TACUEYÓ EN EL MUNICIPIO DE TORIBÍO, DEPARTAMENTO DEL CAUCA.</t>
  </si>
  <si>
    <r>
      <rPr>
        <b/>
        <sz val="8"/>
        <color rgb="FF000000"/>
        <rFont val="Calibri"/>
        <family val="2"/>
        <scheme val="minor"/>
      </rPr>
      <t xml:space="preserve">2026-07-31: </t>
    </r>
    <r>
      <rPr>
        <sz val="8"/>
        <color rgb="FF000000"/>
        <rFont val="Calibri"/>
        <family val="2"/>
        <scheme val="minor"/>
      </rPr>
      <t xml:space="preserve">En proceso de contratación - estimado de contratación fina lde julio, primera semana de agosto 2026.
Se realiza por el DPS desembolso de recursos a la Fiducia "Fiduciaria Central S.A", el 24/07/2026
</t>
    </r>
    <r>
      <rPr>
        <b/>
        <sz val="8"/>
        <color rgb="FF000000"/>
        <rFont val="Calibri"/>
        <family val="2"/>
        <scheme val="minor"/>
      </rPr>
      <t xml:space="preserve"> 2026-07-17: </t>
    </r>
    <r>
      <rPr>
        <sz val="8"/>
        <color rgb="FF000000"/>
        <rFont val="Calibri"/>
        <family val="2"/>
        <scheme val="minor"/>
      </rPr>
      <t xml:space="preserve">En proceso de contratación - estimado de contratación fina lde julio, primera semana de agosto 2026.
En trámite desembolso de recursos
</t>
    </r>
    <r>
      <rPr>
        <b/>
        <sz val="8"/>
        <color rgb="FF000000"/>
        <rFont val="Calibri"/>
        <family val="2"/>
        <scheme val="minor"/>
      </rPr>
      <t>2026-06-26:</t>
    </r>
    <r>
      <rPr>
        <sz val="8"/>
        <color rgb="FF000000"/>
        <rFont val="Calibri"/>
        <family val="2"/>
        <scheme val="minor"/>
      </rPr>
      <t xml:space="preserve"> 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Se iniciará contratación de obra e interventoría después de ley de garantías.
</t>
    </r>
    <r>
      <rPr>
        <b/>
        <sz val="8"/>
        <color rgb="FF000000"/>
        <rFont val="Calibri"/>
        <family val="2"/>
        <scheme val="minor"/>
      </rPr>
      <t xml:space="preserve">2026-06-12: </t>
    </r>
    <r>
      <rPr>
        <sz val="8"/>
        <color rgb="FF000000"/>
        <rFont val="Calibri"/>
        <family val="2"/>
        <scheme val="minor"/>
      </rPr>
      <t xml:space="preserve">Se tiene PAC para desembolso mes de junio de 2026.
Se iniciará contratación de obra e interventoría después de ley de garantías.
</t>
    </r>
    <r>
      <rPr>
        <b/>
        <sz val="8"/>
        <color rgb="FF000000"/>
        <rFont val="Calibri"/>
        <family val="2"/>
        <scheme val="minor"/>
      </rPr>
      <t>2026-05-29: se</t>
    </r>
    <r>
      <rPr>
        <sz val="8"/>
        <color rgb="FF000000"/>
        <rFont val="Calibri"/>
        <family val="2"/>
        <scheme val="minor"/>
      </rPr>
      <t xml:space="preserve"> esta a la espera de la certificación de exoneración del 4*1000, para continuar tramite de desembolso de recursos a la fiducia (Fiduciaria Central S.A).
</t>
    </r>
    <r>
      <rPr>
        <b/>
        <sz val="8"/>
        <color rgb="FF000000"/>
        <rFont val="Calibri"/>
        <family val="2"/>
        <scheme val="minor"/>
      </rPr>
      <t xml:space="preserve">2026-05-22 </t>
    </r>
    <r>
      <rPr>
        <sz val="8"/>
        <color rgb="FF000000"/>
        <rFont val="Calibri"/>
        <family val="2"/>
        <scheme val="minor"/>
      </rPr>
      <t xml:space="preserve">Se recibe la inscripción de la cuenta SIIF, para continuar con proceso de excepción 4*1000, requisito previo solicitar nuevamente el desembolso de recursos a la fiducia. (Fiduciaria Central S.A).
Se iniciará contratación de obra e interventoría después de ley de garantías.
</t>
    </r>
    <r>
      <rPr>
        <b/>
        <sz val="8"/>
        <color rgb="FF000000"/>
        <rFont val="Calibri"/>
        <family val="2"/>
        <scheme val="minor"/>
      </rPr>
      <t xml:space="preserve">2026-05-15 </t>
    </r>
    <r>
      <rPr>
        <sz val="8"/>
        <color rgb="FF000000"/>
        <rFont val="Calibri"/>
        <family val="2"/>
        <scheme val="minor"/>
      </rPr>
      <t>Los procesos de contratación para este proyecto continúan pendientes, debido a que aún no se cuenta con el certificado de calamidad pública. Así mismo, se está evaluando la posibilidad de adelantar la contratación de la interventoría y de la obra una vez finalice la Ley de Garantías.
Adicionalmente, no fue posible llegar a un acuerdo con el contratista actual de interventoría para la inclusión de este proyecto; por lo tanto, se adelantará un nuevo proceso de contratación de interventoría.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2026-05-08 Se realizó la radicación de la solicitud de desembolso de recursos a la Fiducia (Fiduciaria Central S.A.), mediante memorando No. M-2026-40204-021813.
Se solicita a la Corporación la actualización de los documentos administrativos para continuar el trámite de modificación del convenio por cantidades de obra.
Actualmente se encuentra pendiente la expedición de la resolución de declaratoria de emergencia por parte de la Alcaldía, requisito indispensable para continuar con el proceso de contratación de las obras.
2026-04-30. Se está a la espera de la resolución de declaratoria de emergencia por parte de la Alcaldía, requisito necesario para avanzar con la contratación de las obras.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24-04-2026. Se está a la espera de la resolución de declaratoria de emergencia por parte de la Alcaldía, requisito necesario para avanzar con la contratación de las obras.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</si>
  <si>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TOTORÓ</t>
  </si>
  <si>
    <t>CONSTRUCCION DE PLACA HUELLA EN EL RESGUARDO INDIGENA DE SAN FRANCISCO EN EL MUNICIPIO DE TORIBÍO EN EL DEPARTAMENTO DEL CAUCA.</t>
  </si>
  <si>
    <r>
      <rPr>
        <b/>
        <sz val="8"/>
        <color rgb="FF000000"/>
        <rFont val="Calibri"/>
        <family val="2"/>
        <scheme val="minor"/>
      </rPr>
      <t xml:space="preserve">2026-07-31: </t>
    </r>
    <r>
      <rPr>
        <sz val="8"/>
        <color rgb="FF000000"/>
        <rFont val="Calibri"/>
        <family val="2"/>
        <scheme val="minor"/>
      </rPr>
      <t>En proceso de contratación - estimado de contratación fina lde julio, primera semana de agosto 2026.
Se realiza por el DPS desembolso de recursos a la Fiducia "Fiduciaria Central S.A", el 24/07/2026</t>
    </r>
    <r>
      <rPr>
        <b/>
        <sz val="8"/>
        <color rgb="FF000000"/>
        <rFont val="Calibri"/>
        <family val="2"/>
        <scheme val="minor"/>
      </rPr>
      <t xml:space="preserve"> 
2026-07-17: </t>
    </r>
    <r>
      <rPr>
        <sz val="8"/>
        <color rgb="FF000000"/>
        <rFont val="Calibri"/>
        <family val="2"/>
        <scheme val="minor"/>
      </rPr>
      <t xml:space="preserve">En proceso de contratación - estimado de contratación fina lde julio, primera semana de agosto 2026.
En trámite desembolso de recursos
</t>
    </r>
    <r>
      <rPr>
        <b/>
        <sz val="8"/>
        <color rgb="FF000000"/>
        <rFont val="Calibri"/>
        <family val="2"/>
        <scheme val="minor"/>
      </rPr>
      <t xml:space="preserve">2026-06-26: </t>
    </r>
    <r>
      <rPr>
        <sz val="8"/>
        <color rgb="FF000000"/>
        <rFont val="Calibri"/>
        <family val="2"/>
        <scheme val="minor"/>
      </rPr>
      <t xml:space="preserve">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 Se iniciará contratación de obra e interventoría después de ley de garantías.
</t>
    </r>
    <r>
      <rPr>
        <b/>
        <sz val="8"/>
        <color rgb="FF000000"/>
        <rFont val="Calibri"/>
        <family val="2"/>
        <scheme val="minor"/>
      </rPr>
      <t>2026-06-12:</t>
    </r>
    <r>
      <rPr>
        <sz val="8"/>
        <color rgb="FF000000"/>
        <rFont val="Calibri"/>
        <family val="2"/>
        <scheme val="minor"/>
      </rPr>
      <t xml:space="preserve"> Se tiene PAC para desembolso mes de junio de 2026.
Se iniciará contratación de obra e interventoría después de ley de garantías.
</t>
    </r>
    <r>
      <rPr>
        <b/>
        <sz val="8"/>
        <color rgb="FF000000"/>
        <rFont val="Calibri"/>
        <family val="2"/>
        <scheme val="minor"/>
      </rPr>
      <t>2026-05-29:</t>
    </r>
    <r>
      <rPr>
        <sz val="8"/>
        <color rgb="FF000000"/>
        <rFont val="Calibri"/>
        <family val="2"/>
        <scheme val="minor"/>
      </rPr>
      <t xml:space="preserve"> se esta a la espera de la certificación de exoneración del 4*1000, para continuar tramite de desembolso de recursos a la fiducia (Fiduciaria Central S.A).
</t>
    </r>
    <r>
      <rPr>
        <b/>
        <sz val="8"/>
        <color rgb="FF000000"/>
        <rFont val="Calibri"/>
        <family val="2"/>
        <scheme val="minor"/>
      </rPr>
      <t>2026-05-22 Se</t>
    </r>
    <r>
      <rPr>
        <sz val="8"/>
        <color rgb="FF000000"/>
        <rFont val="Calibri"/>
        <family val="2"/>
        <scheme val="minor"/>
      </rPr>
      <t xml:space="preserve"> recibe la inscripción de la cuenta SIIF, para continuar con proceso de excepción 4*1000, requisito previo solicitar nuevamente el desembolso de recursos a la fiducia. (Fiduciaria Central S.A).
Se iniciará contratación de obra e interventoría después de ley de garantías.
</t>
    </r>
    <r>
      <rPr>
        <b/>
        <sz val="8"/>
        <color rgb="FF000000"/>
        <rFont val="Calibri"/>
        <family val="2"/>
        <scheme val="minor"/>
      </rPr>
      <t xml:space="preserve">2026-05-15 </t>
    </r>
    <r>
      <rPr>
        <sz val="8"/>
        <color rgb="FF000000"/>
        <rFont val="Calibri"/>
        <family val="2"/>
        <scheme val="minor"/>
      </rPr>
      <t>Los procesos de contratación para este proyecto continúan pendientes, debido a que aún no se cuenta con el certificado de calamidad pública. Así mismo, se está evaluando la posibilidad de adelantar la contratación de la interventoría y de la obra una vez finalice la Ley de Garantías.
Adicionalmente, no fue posible llegar a un acuerdo con el contratista actual de interventoría para la inclusión de este proyecto; por lo tanto, se adelantará un nuevo proceso de contratación de interventoría.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2026-05-08 Se realizó la radicación de la solicitud de desembolso de recursos a la Fiducia (Fiduciaria Central S.A.), mediante memorando No. M-2026-40204-021813.
Se solicita a la Corporación la actualización de los documentos administrativos para continuar el trámite de modificación del convenio por cantidades de obra.
Actualmente se encuentra pendiente la expedición de la resolución de declaratoria de emergencia por parte de la Alcaldía, requisito indispensable para continuar con el proceso de contratación de las obras.
2026-04-30. Se está a la espera de la resolución de declaratoria de emergencia por parte de la Alcaldía, requisito necesario para avanzar con la contratación de las obras.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24-04-2026. Se está a la espera de la resolución de declaratoria de emergencia por parte de la Alcaldía, requisito necesario para avanzar con la contratación de las obras.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</si>
  <si>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TURBO</t>
  </si>
  <si>
    <t>2026-06-01 -No Viable Presupuestalmente                                                                                                                                                     
2026-05-25 - Sin Novedad                                                                                                                                                        
2026-05-19 - actualmente se encuentra en cierre de productos finales y presupuesto                                                                                                                                                        
2026-05-11 - actualmente se encuentra en cierre de productos finales y presupuesto                                                                                                                                                        
20260-05-05 - Proyecto reiniciado en actividad 1 de estudios y diseños, y actualmente se encuentra en cierre de productos finales y presupuesto.                                                                                                                                                                                  2026-03-10 - No Viable por presupuesto - Proyecto reiniciado en actividad 1 de estudios y diseños, y actualmente se encuentra en cierre de productos finales y presupuesto.</t>
  </si>
  <si>
    <t>CONSTRUCCION DE PLACA HUELLA EN RESGUARDO INDIGENA DE JEBALA EN MUNICIPIO DE TOTORO EN DEPARTAMENTO DEL CAUCA.</t>
  </si>
  <si>
    <r>
      <rPr>
        <b/>
        <sz val="8"/>
        <color rgb="FF000000"/>
        <rFont val="Calibri"/>
        <family val="2"/>
        <scheme val="minor"/>
      </rPr>
      <t xml:space="preserve">2026-07-31: </t>
    </r>
    <r>
      <rPr>
        <sz val="8"/>
        <color rgb="FF000000"/>
        <rFont val="Calibri"/>
        <family val="2"/>
        <scheme val="minor"/>
      </rPr>
      <t xml:space="preserve">La obra presenta un avance físico del ejecutado 21 % y proyectado de 35.9% 
Se realiza por el DPS desembolso de recursos a la Fiducia "Fiduciaria Central S.A), el 24/07/2026
</t>
    </r>
    <r>
      <rPr>
        <b/>
        <sz val="8"/>
        <color rgb="FF000000"/>
        <rFont val="Calibri"/>
        <family val="2"/>
        <scheme val="minor"/>
      </rPr>
      <t xml:space="preserve">2026-07-17: </t>
    </r>
    <r>
      <rPr>
        <sz val="8"/>
        <color rgb="FF000000"/>
        <rFont val="Calibri"/>
        <family val="2"/>
        <scheme val="minor"/>
      </rPr>
      <t xml:space="preserve">Se firma acta de inicio 16/06/2026- Avance fisico 11.25%
En trámite desembolso de recursos
</t>
    </r>
    <r>
      <rPr>
        <b/>
        <sz val="8"/>
        <color rgb="FF000000"/>
        <rFont val="Calibri"/>
        <family val="2"/>
        <scheme val="minor"/>
      </rPr>
      <t>2026-06-26:</t>
    </r>
    <r>
      <rPr>
        <sz val="8"/>
        <color rgb="FF000000"/>
        <rFont val="Calibri"/>
        <family val="2"/>
        <scheme val="minor"/>
      </rPr>
      <t xml:space="preserve"> 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Se suscribe  acta de inicio del 16 de junio de 2026.
</t>
    </r>
    <r>
      <rPr>
        <b/>
        <sz val="8"/>
        <color rgb="FF000000"/>
        <rFont val="Calibri"/>
        <family val="2"/>
        <scheme val="minor"/>
      </rPr>
      <t xml:space="preserve">2026-06-12: </t>
    </r>
    <r>
      <rPr>
        <sz val="8"/>
        <color rgb="FF000000"/>
        <rFont val="Calibri"/>
        <family val="2"/>
        <scheme val="minor"/>
      </rPr>
      <t xml:space="preserve">Se tiene PAC para desembolso de recursos mes de junio 2026
Contratación de obra mediante suscripción de Contrato obra No. 172 de 2026, cuyo objeto es:” Realizar la construcción de placa huella en el resguardo indígena de Jebalá municipio de Totoro departamento del Cauca”. Contratista: Consorcio Jebalá 2026
</t>
    </r>
    <r>
      <rPr>
        <b/>
        <sz val="8"/>
        <color rgb="FF000000"/>
        <rFont val="Calibri"/>
        <family val="2"/>
        <scheme val="minor"/>
      </rPr>
      <t>2026-05-29:</t>
    </r>
    <r>
      <rPr>
        <sz val="8"/>
        <color rgb="FF000000"/>
        <rFont val="Calibri"/>
        <family val="2"/>
        <scheme val="minor"/>
      </rPr>
      <t xml:space="preserve"> Se está a la espera de la certificación de exoneración del 4x1000 por el ministerio de Hacienda para continuar con el trámite de desembolso de recursos a la Fiduciaria Central S.A.
Se reprogramaron las visitas de socialización del proyecto debido a situaciones de orden público en la zona.
</t>
    </r>
    <r>
      <rPr>
        <b/>
        <sz val="8"/>
        <color rgb="FF000000"/>
        <rFont val="Calibri"/>
        <family val="2"/>
        <scheme val="minor"/>
      </rPr>
      <t>2026-05-22:</t>
    </r>
    <r>
      <rPr>
        <sz val="8"/>
        <color rgb="FF000000"/>
        <rFont val="Calibri"/>
        <family val="2"/>
        <scheme val="minor"/>
      </rPr>
      <t xml:space="preserve"> Se recibe la inscripción de la cuenta SIIF, para continuar con proceso de excepción 4*1000, requisito previo solicitar nuevamente el desembolso de recursos a la fiducia. (Fiduciaria Central S.A).
La interventoría dio visto bueno a los estudios y diseños; por lo cual, se iniciará el proceso de contratación de obra, proyectando el cierre del proceso mediante contratación directa para el próximo 27 de mayo de 2026. 
</t>
    </r>
    <r>
      <rPr>
        <b/>
        <sz val="8"/>
        <color rgb="FF000000"/>
        <rFont val="Calibri"/>
        <family val="2"/>
        <scheme val="minor"/>
      </rPr>
      <t xml:space="preserve">2026-05-15 </t>
    </r>
    <r>
      <rPr>
        <sz val="8"/>
        <color rgb="FF000000"/>
        <rFont val="Calibri"/>
        <family val="2"/>
        <scheme val="minor"/>
      </rPr>
      <t>El proyecto cuenta con el 100 % de revisión de los diseños y actualmente se encuentra en etapa de maduración alta. Así mismo, la interventoría emitió aprobación para el inicio de obra. Por lo anterior, se dará inicio al proceso de contratación y se estima que, para la última semana de mayo, el contratista se encuentre vinculado, se suscriba el acta de inicio correspondiente y comiencen las actividades de ejecución de obra en en el tramo proyectado.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2026-05-08. Se realizó la radicación de la solicitud de desembolso de recursos a la Fiducia (Fiduciaria Central S.A.), mediante memorando No. M-2026-40204-021813.
Así mismo, la interventoría (Cto. No. 089-26) adelanta la revisión de los estudios y diseños para emitir la validación y concepto fase III requeridos para el inicio de la obra, conforme a lo establecido en la cláusula 4.2, numeral 29, de las obligaciones de la Corporación.
Se solicita a la Corporación la actualización de los documentos administrativos para continuar el trámite de modificación del convenio por cantidades de obra.
2026-04-30: Se realizó capacitación sobre el componente social dirigida a la Corporación Nasa Kiwe y a la interventoría del Contrato 089-26. 
 . La Corporación presentó el informe de reconocimiento de las áreas a intervenir, evidenciando la necesidad de obras para mejorar la accesibilidad; no obstante, la interventoría advirtió posibles desequilibrios económicos por el aumento del salario mínimo y las condiciones de orden público, por lo que solicitó una mesa de trabajo para revisar los APU’s y definir acciones frente a esta situación.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2026-04-24: Se contrata la interventoria para el seguimiento técnico, administrativo, financiero y social para la construcción de placa Huella.
. Visita técnica el 21 de abril 2026 para verificación en campo e inicio del control técnico.
.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</si>
  <si>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 xml:space="preserve">2026-06-01 - No Viable presupuestalmente 
2026-05-25 - Sin Novedad 
2026-05-19 - Sin Novedad 
2026-05-11 - Programado inicio de actividad II para el 11 de mayo 
2026-05-05 - Sin Novedad   
2026-04-27 - Programado inicio de actividad II para el 11 de mayo                              
2026-04-20 - En procedimiento de aplicación de apremio al contrato de obra.
2026-04-13 - Sin Novedad   
2026-03-30 - Sin Novedad    
2026-03-24 - Sin Novedad                                                                                                                                    
2026-03-16 - Sin Novedad   
2026-03-10 - Sin Novedad  
2026-03-02 - Sin Novedad    </t>
  </si>
  <si>
    <t>CONSTRUCCION DE PLACA HUELLA EN VEREDA SAN FRANCISCO ALTO EN MUNICIPIO DE LA PLATA EN DEPARTAMENTO DEL HUILA.</t>
  </si>
  <si>
    <r>
      <rPr>
        <b/>
        <sz val="8"/>
        <color rgb="FF000000"/>
        <rFont val="Calibri"/>
        <family val="2"/>
        <scheme val="minor"/>
      </rPr>
      <t>2026-07-31:</t>
    </r>
    <r>
      <rPr>
        <sz val="8"/>
        <color rgb="FF000000"/>
        <rFont val="Calibri"/>
        <family val="2"/>
        <scheme val="minor"/>
      </rPr>
      <t xml:space="preserve"> La obra presenta un avance físico del ejecutado 0,93 % y proyectado de 3,89% 
Se realiza por el DPS desembolso de recursos a la Fiducia "Fiduciaria Central S.A", el 24/07/2026 
</t>
    </r>
    <r>
      <rPr>
        <b/>
        <sz val="8"/>
        <color rgb="FF000000"/>
        <rFont val="Calibri"/>
        <family val="2"/>
        <scheme val="minor"/>
      </rPr>
      <t xml:space="preserve">2026-07-17: </t>
    </r>
    <r>
      <rPr>
        <sz val="8"/>
        <color rgb="FF000000"/>
        <rFont val="Calibri"/>
        <family val="2"/>
        <scheme val="minor"/>
      </rPr>
      <t xml:space="preserve">Se firma acta de inicio 22/06/2026- Avance fisico 0.0% suminstro de materiales
En trámite desembolso de recursos.
</t>
    </r>
    <r>
      <rPr>
        <b/>
        <sz val="8"/>
        <color rgb="FF000000"/>
        <rFont val="Calibri"/>
        <family val="2"/>
        <scheme val="minor"/>
      </rPr>
      <t xml:space="preserve">2026-06-26: </t>
    </r>
    <r>
      <rPr>
        <sz val="8"/>
        <color rgb="FF000000"/>
        <rFont val="Calibri"/>
        <family val="2"/>
        <scheme val="minor"/>
      </rPr>
      <t xml:space="preserve">Se firma modificación N°1 al anexo técnico 
Se esta a la espera del desembolso por Hacienda a la Fiducia (Fiduciaria Central S.A)
</t>
    </r>
    <r>
      <rPr>
        <b/>
        <sz val="8"/>
        <color rgb="FF000000"/>
        <rFont val="Calibri"/>
        <family val="2"/>
        <scheme val="minor"/>
      </rPr>
      <t xml:space="preserve">2026-06-19: </t>
    </r>
    <r>
      <rPr>
        <sz val="8"/>
        <color rgb="FF000000"/>
        <rFont val="Calibri"/>
        <family val="2"/>
        <scheme val="minor"/>
      </rPr>
      <t xml:space="preserve">Se suscribe  acta de inicio del 16 de junio de 2026.
</t>
    </r>
    <r>
      <rPr>
        <b/>
        <sz val="8"/>
        <color rgb="FF000000"/>
        <rFont val="Calibri"/>
        <family val="2"/>
        <scheme val="minor"/>
      </rPr>
      <t>2026-06-12:</t>
    </r>
    <r>
      <rPr>
        <sz val="8"/>
        <color rgb="FF000000"/>
        <rFont val="Calibri"/>
        <family val="2"/>
        <scheme val="minor"/>
      </rPr>
      <t xml:space="preserve"> Se tiene PAC para desembolso de recursos mes de junio 2026
Contratación de obra mediante suscripción de cContrato  No. 183 de 2026, cuyo objeto es:” Realizar la construcción de  placa  huella  en  la  vereda  San  Francisco  Alto  en  el  municipio  de  la Plata  Huila, vía que comunica con  la  vereda  San  Francisco  Alto  tramo K0+000 - K0+220”. Contratista: Herney Rivera Calambas.
</t>
    </r>
    <r>
      <rPr>
        <b/>
        <sz val="8"/>
        <color rgb="FF000000"/>
        <rFont val="Calibri"/>
        <family val="2"/>
        <scheme val="minor"/>
      </rPr>
      <t xml:space="preserve">2026-05-29: </t>
    </r>
    <r>
      <rPr>
        <sz val="8"/>
        <color rgb="FF000000"/>
        <rFont val="Calibri"/>
        <family val="2"/>
        <scheme val="minor"/>
      </rPr>
      <t xml:space="preserve">Se está a la espera de la certificación de exoneración del 4x1000 por el ministerio de Hacienda para continuar con el trámite de desembolso de recursos a la Fiduciaria Central S.A.
La interventoría envió los informes de la revisión de los estudios y diseños, y dio visto bueno y autorizó continuar con el proceso de contratación de obra.
</t>
    </r>
    <r>
      <rPr>
        <b/>
        <sz val="8"/>
        <color rgb="FF000000"/>
        <rFont val="Calibri"/>
        <family val="2"/>
        <scheme val="minor"/>
      </rPr>
      <t xml:space="preserve">2026-05-22 </t>
    </r>
    <r>
      <rPr>
        <sz val="8"/>
        <color rgb="FF000000"/>
        <rFont val="Calibri"/>
        <family val="2"/>
        <scheme val="minor"/>
      </rPr>
      <t xml:space="preserve">Se recibe la inscripción de la cuenta SIIF, para continuar con proceso de excepción 4*1000, requisito previo solicitar nuevamente el desembolso de recursos a la fiducia. (Fiduciaria Central S.A).
La interventoría se encuentra finalizando la revisión de los estudios y diseños y, una vez concluya, emitirá el respectivo concepto. En este caso particular, los costos de acarreo aumentaron, por lo que se está revisando detalladamente si, con el análisis de alternativas realizado, el presupuesto continúa siendo viable o si es necesario efectuar algún ajuste
</t>
    </r>
    <r>
      <rPr>
        <b/>
        <sz val="8"/>
        <color rgb="FF000000"/>
        <rFont val="Calibri"/>
        <family val="2"/>
        <scheme val="minor"/>
      </rPr>
      <t xml:space="preserve">2026-05-15 </t>
    </r>
    <r>
      <rPr>
        <sz val="8"/>
        <color rgb="FF000000"/>
        <rFont val="Calibri"/>
        <family val="2"/>
        <scheme val="minor"/>
      </rPr>
      <t xml:space="preserve">La revisión de los estudios y diseños de este proyecto presenta un avance aproximado del 80 %, dado que aún deben analizarse otros factores identificados en campo, tales como el acarreo de materiales. Debido a la ola invernal, el acceso al área de intervención se ha dificultado, por lo que deberá evaluarse la viabilidad del transporte de materiales, incluso mediante acarreo a lomo de mula.
Así mismo, el trámite de solicitud de desembolso de recursos fue devuelto el 12 de mayo de 2026, debido a que se encontraba pendiente la inscripción de la cuenta en el SIIF. Adicionalmente, se requería anexar la exoneración del 4x1000. Estas solicitudes fueron remitidas al área financiera el 15 de marzo para el trámite correspondiente y, una vez sean aprobadas, se radicará nuevamente la solicitud de desembolso.
</t>
    </r>
    <r>
      <rPr>
        <b/>
        <sz val="8"/>
        <color rgb="FF000000"/>
        <rFont val="Calibri"/>
        <family val="2"/>
        <scheme val="minor"/>
      </rPr>
      <t>2026-05-08</t>
    </r>
    <r>
      <rPr>
        <sz val="8"/>
        <color rgb="FF000000"/>
        <rFont val="Calibri"/>
        <family val="2"/>
        <scheme val="minor"/>
      </rPr>
      <t>. Se realizó la radicación de la solicitud de desembolso de recursos a la Fiducia (Fiduciaria Central S.A.), mediante memorando No. M-2026-40204-021813.
Así mismo, la interventoría (Cto. No. 089-26) adelanta la revisión de los estudios y diseños para emitir la validación y concepto fase III requeridos para el inicio de la obra, conforme a lo establecido en la cláusula 4.2, numeral 29, de las obligaciones de la Corporación.
Se solicita a la Corporación la actualización de los documentos administrativos para continuar el trámite de modificación del convenio por cantidades de obra.
2026-04-30: Se realizó capacitación sobre el componente social dirigida a la Corporación Nasa Kiwe y a la interventoría del Contrato 089-26. 
 . La Corporación presentó el informe de reconocimiento de las áreas a intervenir, evidenciando la necesidad de obras para mejorar la accesibilidad; no obstante, la interventoría advirtió posibles desequilibrios económicos por el aumento del salario mínimo y las condiciones de orden público, por lo que solicitó una mesa de trabajo para revisar los APU’s y definir acciones frente a esta situación.
.Se cuenta con los requisitos necesarios para el trámite de desembolso de recursos a la Fiducia (Fiduciaria Central S.A.), entre los cuales se encuentran: aprobación de garantías, cronograma de ejecución del convenio, aprobación del manual operativo, conformación de la fiducia y no objeción por parte del DPS. 
A la fecha, únicamente está pendiente la entrega de la certificación bancaria actualizada por la Fiduciaria, documento requerido para completar la documentación y  radicar la solicitud de desembolso ante la Subdirección Financiera del DPS. Se proyecta realizar dicha radicación el día 4 de mayo.
2026-04-24: Se contrata la interventoria para el seguimiento técnico, administrativo, financiero y social para la construcción de placa Huella.
. Visita técnica el 23 de abril 2026 para verificación en campo e inicio del control técnico.
. Se envió un oficio de presunto incumplimiento debido a la no contratación de los contratistas de obra dentro de los plazos establecidos.
2026-04-21. Ya se encuentra contratada la interventoría que va a realizar seguimiento a los proyectos. Se espera que en el transcurso de esta semana se logre tener la contratación de obra.
Se realiza comité fiduciario el 16 de abril de 2026 y se aprueba el manual operativo, requisito para el desembolos de recursos.
2026-03-20. Se realiza mesa de trabajo con los directivos de Nasa Kiwe y DPS, con el objeto de revisar clausulado en la forma de pago y anticipos para una posible modificación, se acuerda, que si existe la necesidad en la ejecicion se tramitara la modificación.
2026-02-19. El 4 de febrero de 2026 se realiza mesa de trabajo de seguimiento, donde la Corporación NASA KIWE, informa que está adelantando los estudios previos para la contratación de la interventoría y la contratación de las obras, espera que finalizando el mes de febrero de 2026.</t>
    </r>
  </si>
  <si>
    <t>2026-07-31 Proyecto adicionado al contrato 911 FIP 2024, en proceso de estructuración contractual por parte de ENTerritorio
2026-06-30 Proyecto adicionado al contrato 911 FIP 2024, en proceso de estructuración contractual por parte de ENTerritorio
2026-06-01. Se adicionó al contrato 911 FIP 2024, a través del otrosí No. 2 aprobado en comité directivo del 08-05-2026
2026-05-19. Pendientes remitir documentación para iniciar proceso de liquidación de convenio inicial.
2026-04-28. Resultado de las mesas técnico-Jurídica se determinó ruta de Subsanación de condiciones para liquidación del convenio interadministrativo.
2024-04-14. Contrato suspendido sin acta de cierre y existencia de acción popular. A pesar de ello, se mantiene la recomendación de avanzar en la liquidación del convenio.
2026-03-09. Proyecto se encuentra en etapa de diagnóstico por parte de E.T. con el objetivo de conocer el estado actual de la obra.
2025-02-16. Se plantea la realización de visita técnica para diagnóstico y pertinencia.</t>
  </si>
  <si>
    <t>2026-07-31 Proyecto adicionado al contrato 911 FIP 2024, en proceso de estructuración contractual por parte de ENTerritorio
2026-06-30 Proyecto adicionado al contrato 911 FIP 2024, en proceso de estructuración contractual por parte de ENTerritorio
2026-06-01 Se envío oficio S-2026-10000-077734 con Requerimiento urgente y advertencia frente a los reiterados retrasos en la estructuración, publicación y avance de procesos contractuales. En definición de consulta previa ante min. interior 
2026-05-19. Se dieron 10 días para realizar firma del acta de recibo final, falta documentación para ruta de liquidación.
2026-04-28. Resultado de las mesas técnico-Jurídica se determinó ruta de Subsanación de condiciones para liquidación del convenio interadministrativo.
2026-04-21. El jueves 16 de abril se realizó reunión técnico jurídica en compañía de contractual, contratos y supervisores. Allí se expuso que todo sigue igual, el contratista pide que le paguen el 20% que está en trámite de pasivo para firmar liquidación y para el acta de entrega de la obra.
2026-03-09. Proyecto se encuentra en etapa de diagnóstico por parte de E.T. con el objetivo de conocer el estado actual de la obra.
2025-02-16. Se plantea la realización de visita técnica para diagnóstico y pertinencia.</t>
  </si>
  <si>
    <t>Construcción de la plaza de comidas y cárnicos en el municipio de Cumbal, Nariño</t>
  </si>
  <si>
    <t>Vías</t>
  </si>
  <si>
    <t>MEJORAMIENTO CON PAVIMENTO RÍGIDO DE DOS TRAMOS VIALES EN EL CASCO URBANO DEL MUNICIPIO DE PASTO, NARIÑO</t>
  </si>
  <si>
    <t>Centro deportivo</t>
  </si>
  <si>
    <t>TERMINACIÓN DE LA OBRA COLISEO PARQUE BOSQUE, MUNICIPIO DE FLORIDA – VALLE DEL CAUCA</t>
  </si>
  <si>
    <t>2026-06-30 Proyecto adicionado al contrato 911 FIP 2024, en proceso de estructuración contractual por parte de ENTerritorio
2026-06-01. Se adicionó al contrato 911 FIP 2024, a través del otrosí No. 2 aprobado en comité directivo del 08-05-2026
Frente a terminación sin culminación de obras, se requiere suscribir vehiculo o memorando de entendimiento para terminación de proyecto con recursos vegencia 2026.</t>
  </si>
  <si>
    <t>INTERVENCIÓN VIAL PARA LA COMUNIDAD INDÍGENA EMBERA DEL ALTO ANDÁGUEDA</t>
  </si>
  <si>
    <t xml:space="preserve">2026-08-11: Proyecto aun se encuentra en la etapa de estructuracion, el comite opertativo con fecha de 17 de julio de 2026, Enterritorio informa que los planos se encuentran revisados y procedera a realizar el costeo respectivo. Se envio memorando con fecha 10 de agosto solicitando estado actual a la fecha.                                                                   2026-06-01                                                                                                                                                  proyecto sin novedades                                                                                                                         2026-05-25                                                                                                                                                                     Se esta a la espera de respuesta por parte del municipio la entrega de la totalidad de la documentacion, para continuar con el proceso de estructuracion.                                                        2026-05-12                                                                                                                                             Proyecto no cuenta con novedades                                                                                                                                     2026-04-28                                                                                                                                              Proyecto continua en etapa de estructuracion                                                                        2026-04-21. 
Este proyecto continua en la etapa de estructuracion.                                                                                                                                                                                                                                    2026-04-06. 
El treinta (30) de marzo de dos mil veintiséis (2026), ENTerritorio S.A., mediante comunicación con radicado No. 202623010006401, dirigida a Prosperidad Social, remitió las conclusiones de la mesa de trabajo celebrada el dos (2) de marzo de dos mil veintiséis (2026), correspondiente al Proyecto C538 – Intervención Vial para la Comunidad Indígena Embera del Alto Andágueda, municipio de Bagadó, Chocó. 
En este comunicado, ENTerritorio precisó dos aspectos fundamentales: primero, que los estudios y diseños aportados por INVÍAS contemplaban la construcción de un puente sobre el río Paparido, intervención que Prosperidad Social manifestó no ejecutará en el marco del proyecto; y segundo, que dada la presencia de un resguardo indígena en el área de intervención, Prosperidad Social se comprometió a solicitar concepto ante la Dirección de la Autoridad Nacional de Consulta Previa (DANCP) del Ministerio del Interior, a fin de establecer la necesidad o no de surtir el proceso de consulta previa antes de avanzar en la estructuración del proyecto.
2026-02-16. 
Proyecto ingresó en el comité de seguimiento del 26 de diciembre de 2025, con un valor de 3,500,000,000.
</t>
  </si>
  <si>
    <t>Mejoramiento plaza de mercado de oriente municipio de Monteria, Códoba</t>
  </si>
  <si>
    <t>Construcción de la casa conmemorativa a las víctimas como centro de restitución de derechos del municipio de San José del Palmar - Choco</t>
  </si>
  <si>
    <t>VILLAVICENCIO</t>
  </si>
  <si>
    <t>No se logró la firma del convenio entre el ente territorial y Findeter antes de la ley de garantías de novimenre de 2025. Por esta razón este PAS entre en estado de No Viable                                               El municipio no suscribió el convenio interadministrativo, al manifestar la falta de interés en la ejecución del proyecto por la inexistencia de recursos suficientes para garantizar su sostenibilidad. Adicionalmente, incumplió los compromisos establecidos como requisitos para la viabilidad del proyecto.</t>
  </si>
  <si>
    <t>Mejoramiento de la vía terciaria que comunica el sector de la Ye de San Diego Con el Corregimiento del Carmen de la Venta en el Municipio de Liborina Antioquia</t>
  </si>
  <si>
    <t>No viable</t>
  </si>
  <si>
    <t>Sendero ecológico y ambiental (memoria) Bojayá_Bellavista</t>
  </si>
  <si>
    <t>Adjudicados Contratos de Obra e Interventoría - Pendiente firma de contratos e inicio de obra.</t>
  </si>
  <si>
    <t>2026-07-31 Pendiente legalización de contratos
2026-06-30 Pendiente legalización de contratos
2026-06-01 Se envío oficio S-2026-10000-077734 con Requerimiento urgente y advertencia frente a los reiterados retrasos en la estructuración, publicación y avance de procesos contractuales.
2026-04-06 Se envío oficio S-2026-10000-044024, en respuesta al  derecho de petición de la aseguradora con la trazabilidad completa de las actuaciones de supervisión, el análisis técnico-jurídico correspondiente y las acciones propuestas para encauzar la ejecución contractual. Se solicita también la instalación de mesa de trabajo conducentes a medidas correctivas concertadas que permitan reconducir la ejecución contractual.
2026-03-24. Se adelanto reunión con la Presidencia de Enterritorio y la Dirección de Programas y Proyectos y la Dirección de Infraestructura y Hábitat del DPS, con el fin de hacer seguimiento al avance y de los planes de contingencia para el contrato.
2026-03-19. Se envió oficio S-2026-10000-036497 a través del cual se reitera a ENterritrio el incumplimientos frente a cronogramas contractuales del Contrato Interadministrativo No. 911 FIP de 2024 
2026-03-17 . Se envio Oficio S-2026-10000-032961  reiterando a ENTerritorio S.A. el cumplimiento de las obligaciones contractuales asociadas a la programación y publicación oportuna de los procesos derivados del contrato en la plataforma SECOP II. 
2026-03-10. Contrato obra e interventoría en proceso de suscripción, se adelantan tramites de revisión de hojas de vida y documentos requeridos para suscripción del acta de inicio.
2026-02-16. Se realizó envío de oficio de radicado No. S-2026-10000-019960, por presunto incumpliminto contractual de ENterritorio.</t>
  </si>
  <si>
    <t>YONDÓ</t>
  </si>
  <si>
    <t>20260223 - Continua en ejecución sin inconveniente                                                                                           20260302 - Continua en ejecución sin inconveniente                                                                                                                                                   20260310 - No Viable por presupuesto - El proyecto no pudo dar inicio a la Actividad 1 debido a que, pese a haberse solicitado oportunamente al ente territorial la información requerida durante la fase de alistamiento, la administración municipal únicamente remitió documentación parcial en una sola ocasión y posteriormente no volvió a responder, a pesar de los reiterados requerimientos realizados por FINDETER. Ante la ausencia de los insumos técnicos mínimos indispensables, no fue posible iniciar la actividad.</t>
  </si>
  <si>
    <t>Adición Placa huella vereda La Gelima - Yolombó</t>
  </si>
  <si>
    <t>2026-07-31 Proyecto adicionado al contrato 911 FIP 2024, en proceso de estructuración contractual por parte de ENTerritorio
2026-06-30 Proyecto adicionado al contrato 911 FIP 2024, en proceso de estructuración contractual por parte de ENTerritorio
Se incluyo en adición a convenio 911-2024 en vigencia 2026.</t>
  </si>
  <si>
    <t>Estudios, diseños y construcción de la sede del consejo comunitario de Pilizá, Municipio de Bajo Baudó - Chocó</t>
  </si>
  <si>
    <t>Estudios, diseños y construcción de dos (2) muelles en la vereda Guabal y Guachireambos municipio de Tumaco Nariño Concejo Comunitario del río Gualajo</t>
  </si>
  <si>
    <t>Contratar Estudios, diseños, remodelaci }ón y construcción de locales
comerciales en Trigal del Norte y  Nueva Sexta</t>
  </si>
  <si>
    <t>Incorporado en otro si 3 2026</t>
  </si>
  <si>
    <t>IQUIRA, LA PLATA, PITALITO</t>
  </si>
  <si>
    <t>Construcción de Placa huellas - Consejo Regional Indígena del Huila (CRIHU)</t>
  </si>
  <si>
    <t>Canalete</t>
  </si>
  <si>
    <t xml:space="preserve">Estudios y diseños para el mejoramiento en pavimento rígido de la vía que comunica con el sector Loma del Cielo al corregimiento del Tomate en el municipio de Canalete- Córdoba. </t>
  </si>
  <si>
    <t>Guayabal</t>
  </si>
  <si>
    <t xml:space="preserve">Pavimentación en placa Huella Corregimiento de Guayabal, Quibdó, Chocó. </t>
  </si>
  <si>
    <t>238-DPS-2026</t>
  </si>
  <si>
    <t>Vías Urbanas</t>
  </si>
  <si>
    <t>Aunar esfuerzos administrativos, técnicos y de competencias entre el DEPARTAMENTO ADMINISTRATIVO PARA LA PROSPERIDAD SOCIAL – DPS y el municipio SAN JUAN DE PASTO (NARIÑO), con el propósito de habilitar jurídica y administrativamente la culminación de las obras de infraestructura social vial en el territorio municipal.
Estas acciones se desarrollarán en concordancia con las funciones misionales de cada entidad, con el propósito de contribuir a la realización progresiva de la Seguridad humana y justicia social.</t>
  </si>
  <si>
    <t>454-FIP-2021</t>
  </si>
  <si>
    <t>Construcción y dotación de una Plaza de Mercado en el casco urbano del municipio de Coyaima - Tolima</t>
  </si>
  <si>
    <t>Pensilvania</t>
  </si>
  <si>
    <t xml:space="preserve">Segunda etapa terminación Mejoramiento pavimentación de la vía pensilvania-Puerto Lopez-Puerto Arenas-Arboleda en el municipio en Pensilvania (Caldas) </t>
  </si>
  <si>
    <t xml:space="preserve">2026-06-16 - Continua en ejecución sin ningún inconveniente                                                                                                                                                            
2026-06-09 - Continua en ejecución sin ningún inconveniente                                                                                                                                                            
2026-06-01 - Continua en ejecución sin ningún inconveniente                                                                                                                                                            
2026-05-25 - Continua en ejecución sin ningún inconveniente                                                                                                                                                            
2026-05-19 - Continua en ejecución sin ningún inconveniente                                                                                                                                                            
2026-05-11 - Continua en ejecución sin ningún inconveniente                                                                                                                                                            
2026-05-05 - Continua en ejecución sin ningún inconveniente                                                                                                                                                            
2026-04-27 - Continua en ejecución sin ningún inconveniente                                                                                                                                                                                                      2026-04-20 - Continua en ejecución sin ningún inconveniente
2026-04-13 - Continua en ejecución sin ningún inconveniente                                                                                                                                                                                                                                                                                                                                                                                                                                                                                     
2026-03-30 - Continua en ejecución sin ningún inconveniente     
2026-03-24 - Continua en ejecución sin ningún inconveniente                                                                                                                                                   
2026-03-16 - Continua en ejecución sin ningún inconveniente   
2026-03-10 - Continua en ejecución sin ningún inconveniente                                                                                                                                                   
2026-03-02 - Continua en ejecución sin ningún inconveniente                                                                                                                                                  
2026-02-23 - Continua en ejecución sin ningún inconveniente                                                              </t>
  </si>
  <si>
    <t>DEPARTAMENTO</t>
  </si>
  <si>
    <t>MUNICIPIO</t>
  </si>
  <si>
    <t>Interventoria</t>
  </si>
  <si>
    <t>REGION 2 - CONSORCIO INTERSOCIAL</t>
  </si>
  <si>
    <t>ZONA 7 - CONSORCIO INTERPROSPERIDAD</t>
  </si>
  <si>
    <t>REGIÓN 2</t>
  </si>
  <si>
    <t>CONSORCIO INTERSOCIAL
(Región 2)</t>
  </si>
  <si>
    <t>REGION 3 - CONSORCIO INTERDI - BATEMAN</t>
  </si>
  <si>
    <t>REGION 4 - GAVINCO INGENIEROS CONSULTORES S.A.S.</t>
  </si>
  <si>
    <t>MEDINA &amp; RIVERA INGENIEROS ASOCIADOS S.A.S.</t>
  </si>
  <si>
    <t>LÓPEZ</t>
  </si>
  <si>
    <t>MONTERIA</t>
  </si>
  <si>
    <t>GAVINCO INGENIEROS CONSULTORES S.A.S</t>
  </si>
  <si>
    <t>REGION 5</t>
  </si>
  <si>
    <t xml:space="preserve"> 673 catalogo gestion de los cuales : 268 vigencias 2024 - 2025</t>
  </si>
  <si>
    <t xml:space="preserve">405 proyectos de rezagos de vigencias de periodos de gobierno </t>
  </si>
  <si>
    <t>GERENCIA REGIONAL SUCRE</t>
  </si>
  <si>
    <t>GERENCIA REGIONAL ATLÁNTICO</t>
  </si>
  <si>
    <t>GERENCIA REGIONAL RISARALDA</t>
  </si>
  <si>
    <t>GERENCIA REGIONAL NORTE DE SANTANDER</t>
  </si>
  <si>
    <t>GERENCIA REGIONAL VALLE DEL CAUCA</t>
  </si>
  <si>
    <t>GERENCIA REGIONAL CAUCA</t>
  </si>
  <si>
    <t>GERENCIA REGIONAL MAGDALENA</t>
  </si>
  <si>
    <t>GERENCIA REGIONAL MAGDALENA MEDIO</t>
  </si>
  <si>
    <t>GERENCIA REGIONAL URABA</t>
  </si>
  <si>
    <t>GERENCIA REGIONAL CÓRDOBA</t>
  </si>
  <si>
    <t xml:space="preserve">GERENCIA REGIONAL CESAR </t>
  </si>
  <si>
    <t>GERENCIA REGIONAL GUAJIRA</t>
  </si>
  <si>
    <t>GERENCIA REGIONAL NARIÑO</t>
  </si>
  <si>
    <t>GERENCIA REGIONAL TOLIMA</t>
  </si>
  <si>
    <t>GERENCIA REGIONAL GUAINÍA</t>
  </si>
  <si>
    <t>GERENCIA REGIONAL SAN ANDRÉS Y PROVIDENCIA</t>
  </si>
  <si>
    <t>GERENCIA REGIONAL ANTIOQUIA</t>
  </si>
  <si>
    <t>GERENCIA REGIONAL PUTUMAYO</t>
  </si>
  <si>
    <t>GERENCIA REGIONAL GUAVIARE</t>
  </si>
  <si>
    <t>GERENCIA REGIONAL BOLIVAR</t>
  </si>
  <si>
    <t>GERENCIA REGIONAL CHOCÓ</t>
  </si>
  <si>
    <t>GERENCIA REGIONAL SANTANDER</t>
  </si>
  <si>
    <t>GERENCIA REGIONAL HUILA</t>
  </si>
  <si>
    <t>GERENCIA REGIONAL CALDAS</t>
  </si>
  <si>
    <t>GERENCIA REGIONAL META</t>
  </si>
  <si>
    <t>GERENCIA REGIONAL CUNDINAMARCA</t>
  </si>
  <si>
    <t>GERENCIA REGIONAL VICHADA</t>
  </si>
  <si>
    <t>GERENCIA REGIONAL BOYACÁ</t>
  </si>
  <si>
    <t>GERENCIA REGIONAL ARAUCA</t>
  </si>
  <si>
    <t>GERENCIA REGIONAL AMAZONAS</t>
  </si>
  <si>
    <t>GERENCIA REGIONAL CASANARE</t>
  </si>
  <si>
    <t>GERENCIA REGIONAL QUINDIO</t>
  </si>
  <si>
    <t>GERENCIA REGIONAL CAQUETÁ</t>
  </si>
  <si>
    <t>GERENCIA REGIONAL CHOCHÓ</t>
  </si>
  <si>
    <t>GERENCIA REGIONAL BOGOTÁ D.C</t>
  </si>
  <si>
    <t>GERENCIA REGIONAL CESAR</t>
  </si>
  <si>
    <t>FINDETER-CONSORCIO VERTING(FINDETER-CONSORCIO VERTING)</t>
  </si>
  <si>
    <t>(ZONA 8) CONSORCIO INFRAESTRUCTURA SOCIAL(206-FIP-2019)</t>
  </si>
  <si>
    <t>REGIÓN IV - GAVINCO INGENIEROS CONSULTORES S.A.S(411-FIP-2021)</t>
  </si>
  <si>
    <t>REGIÓN III - CONSORCIO INTERDIBATEMAN(406-FIP-2021)</t>
  </si>
  <si>
    <t>REGIÓN II -  CONSORCIO INTERSOCIAL(408-FIP-2021)</t>
  </si>
  <si>
    <t>REGIÓN I - CONSORCIO INTER INFRAESTRUCTURA 2021(409-FIP-2021)</t>
  </si>
  <si>
    <t>(ZONA 7) CONSORCIO INTERPROSPERIDAD(208-FIP-2019)</t>
  </si>
  <si>
    <t>(ZONA 6) CONSORCIO AJS(207-FIP-2019)</t>
  </si>
  <si>
    <t>REGION V - MEDINA &amp; Rivera INGENIEROS ASOCIADOS S.A.S.(410-FIP-2021)</t>
  </si>
  <si>
    <t>(ZONA 5) CONSORCIO AMAUTA PYD_01(231-FIP-2019)</t>
  </si>
  <si>
    <t>(ZONA 3) CONSORCIO INTERSOCIAL(204-FIP-2019)</t>
  </si>
  <si>
    <t>SIN REPORTAR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</si>
</sst>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 #,##0.00_-;\-&quot;$&quot;\ * #,##0.00_-;_-&quot;$&quot;\ * &quot;-&quot;??_-;_-@_-"/>
    <numFmt numFmtId="43" formatCode="_-* #,##0.00_-;\-* #,##0.00_-;_-* &quot;-&quot;??_-;_-@_-"/>
    <numFmt numFmtId="164" formatCode="_-[$$-409]* #,##0.00_ ;_-[$$-409]* \-#,##0.00\ ;_-[$$-409]* &quot;-&quot;??_ ;_-@_ "/>
    <numFmt numFmtId="165" formatCode="_(&quot;$&quot;* #,##0.00_);_(&quot;$&quot;* \(#,##0.00\);_(&quot;$&quot;* &quot;-&quot;??_);_(@_)"/>
    <numFmt numFmtId="166" formatCode="_-* #,##0_-;\-* #,##0_-;_-* &quot;-&quot;??_-;_-@_-"/>
    <numFmt numFmtId="167" formatCode="_-[$$-240A]\ * #,##0.00_-;\-[$$-240A]\ * #,##0.00_-;_-[$$-240A]\ * &quot;-&quot;??_-;_-@_-"/>
    <numFmt numFmtId="168" formatCode="d/m/yyyy"/>
  </numFmts>
  <fonts count="12" x14ac:knownFonts="1">
    <font>
      <sz val="11"/>
      <color theme="1"/>
      <name val="Calibri"/>
      <family val="2"/>
      <scheme val="minor"/>
    </font>
    <font>
      <sz val="11"/>
      <color theme="1"/>
      <name val="Calibri"/>
      <family val="2"/>
      <scheme val="minor"/>
    </font>
    <font>
      <sz val="8"/>
      <color theme="1"/>
      <name val="Calibri"/>
      <family val="2"/>
      <scheme val="minor"/>
    </font>
    <font>
      <sz val="8"/>
      <name val="Calibri"/>
      <family val="2"/>
      <scheme val="minor"/>
    </font>
    <font>
      <sz val="8"/>
      <color rgb="FF000000"/>
      <name val="Calibri"/>
      <family val="2"/>
      <scheme val="minor"/>
    </font>
    <font>
      <b/>
      <sz val="8"/>
      <color theme="1"/>
      <name val="Calibri"/>
      <family val="2"/>
      <scheme val="minor"/>
    </font>
    <font>
      <sz val="8"/>
      <color rgb="FF242424"/>
      <name val="Calibri"/>
      <family val="2"/>
      <scheme val="minor"/>
    </font>
    <font>
      <sz val="8"/>
      <color rgb="FF262626"/>
      <name val="Calibri"/>
      <family val="2"/>
      <scheme val="minor"/>
    </font>
    <font>
      <sz val="8"/>
      <color rgb="FFFF0000"/>
      <name val="Calibri"/>
      <family val="2"/>
      <scheme val="minor"/>
    </font>
    <font>
      <b/>
      <sz val="8"/>
      <color rgb="FF000000"/>
      <name val="Calibri"/>
      <family val="2"/>
      <scheme val="minor"/>
    </font>
    <font>
      <sz val="8"/>
      <color rgb="FF000000"/>
      <name val="Arial"/>
      <family val="2"/>
    </font>
    <font>
      <sz val="8"/>
      <name val="Arial"/>
      <family val="2"/>
    </font>
  </fonts>
  <fills count="35">
    <fill>
      <patternFill patternType="none"/>
    </fill>
    <fill>
      <patternFill patternType="gray125"/>
    </fill>
    <fill>
      <patternFill patternType="solid">
        <fgColor rgb="FF92D050"/>
        <bgColor indexed="64"/>
      </patternFill>
    </fill>
    <fill>
      <patternFill patternType="solid">
        <fgColor theme="5" tint="-0.249977111117893"/>
        <bgColor indexed="64"/>
      </patternFill>
    </fill>
    <fill>
      <patternFill patternType="solid">
        <fgColor theme="8"/>
        <bgColor indexed="64"/>
      </patternFill>
    </fill>
    <fill>
      <patternFill patternType="solid">
        <fgColor rgb="FFFFC0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D9E1F2"/>
        <bgColor rgb="FFD9E1F2"/>
      </patternFill>
    </fill>
    <fill>
      <patternFill patternType="solid">
        <fgColor theme="7" tint="0.59999389629810485"/>
        <bgColor indexed="64"/>
      </patternFill>
    </fill>
    <fill>
      <patternFill patternType="solid">
        <fgColor theme="8" tint="-0.499984740745262"/>
        <bgColor indexed="64"/>
      </patternFill>
    </fill>
    <fill>
      <patternFill patternType="solid">
        <fgColor rgb="FFCC99FF"/>
        <bgColor indexed="64"/>
      </patternFill>
    </fill>
    <fill>
      <patternFill patternType="solid">
        <fgColor rgb="FFCC99FF"/>
        <bgColor theme="4" tint="0.79998168889431442"/>
      </patternFill>
    </fill>
    <fill>
      <patternFill patternType="solid">
        <fgColor theme="6" tint="0.39997558519241921"/>
        <bgColor indexed="64"/>
      </patternFill>
    </fill>
    <fill>
      <patternFill patternType="solid">
        <fgColor rgb="FF00B050"/>
        <bgColor indexed="64"/>
      </patternFill>
    </fill>
    <fill>
      <patternFill patternType="solid">
        <fgColor theme="9" tint="0.59999389629810485"/>
        <bgColor indexed="64"/>
      </patternFill>
    </fill>
    <fill>
      <patternFill patternType="solid">
        <fgColor theme="5"/>
        <bgColor theme="4" tint="0.79998168889431442"/>
      </patternFill>
    </fill>
    <fill>
      <patternFill patternType="solid">
        <fgColor theme="7"/>
        <bgColor theme="4" tint="0.79998168889431442"/>
      </patternFill>
    </fill>
    <fill>
      <patternFill patternType="solid">
        <fgColor theme="4" tint="0.79998168889431442"/>
        <bgColor indexed="64"/>
      </patternFill>
    </fill>
    <fill>
      <patternFill patternType="solid">
        <fgColor theme="7"/>
        <bgColor indexed="64"/>
      </patternFill>
    </fill>
    <fill>
      <patternFill patternType="solid">
        <fgColor rgb="FFFFFF00"/>
        <bgColor indexed="64"/>
      </patternFill>
    </fill>
    <fill>
      <patternFill patternType="solid">
        <fgColor theme="8"/>
        <bgColor theme="4" tint="0.79998168889431442"/>
      </patternFill>
    </fill>
    <fill>
      <patternFill patternType="solid">
        <fgColor rgb="FFFF0000"/>
        <bgColor indexed="64"/>
      </patternFill>
    </fill>
    <fill>
      <patternFill patternType="solid">
        <fgColor rgb="FF00B0F0"/>
        <bgColor indexed="64"/>
      </patternFill>
    </fill>
    <fill>
      <patternFill patternType="solid">
        <fgColor theme="9" tint="0.79998168889431442"/>
        <bgColor theme="4" tint="0.79998168889431442"/>
      </patternFill>
    </fill>
    <fill>
      <patternFill patternType="solid">
        <fgColor theme="9"/>
        <bgColor theme="4" tint="0.79998168889431442"/>
      </patternFill>
    </fill>
    <fill>
      <patternFill patternType="solid">
        <fgColor theme="0"/>
        <bgColor theme="4" tint="0.79998168889431442"/>
      </patternFill>
    </fill>
    <fill>
      <patternFill patternType="solid">
        <fgColor theme="7" tint="0.79998168889431442"/>
        <bgColor indexed="64"/>
      </patternFill>
    </fill>
    <fill>
      <patternFill patternType="solid">
        <fgColor theme="5"/>
        <bgColor indexed="64"/>
      </patternFill>
    </fill>
    <fill>
      <patternFill patternType="solid">
        <fgColor rgb="FFFFFF00"/>
        <bgColor theme="4" tint="0.79998168889431442"/>
      </patternFill>
    </fill>
    <fill>
      <patternFill patternType="solid">
        <fgColor theme="5" tint="0.39997558519241921"/>
        <bgColor indexed="64"/>
      </patternFill>
    </fill>
    <fill>
      <patternFill patternType="solid">
        <fgColor theme="8" tint="0.79998168889431442"/>
        <bgColor indexed="64"/>
      </patternFill>
    </fill>
    <fill>
      <patternFill patternType="solid">
        <fgColor theme="5" tint="0.79998168889431442"/>
        <bgColor theme="4" tint="0.79998168889431442"/>
      </patternFill>
    </fill>
    <fill>
      <patternFill patternType="solid">
        <fgColor theme="6" tint="0.59999389629810485"/>
        <bgColor indexed="64"/>
      </patternFill>
    </fill>
    <fill>
      <patternFill patternType="solid">
        <fgColor rgb="FFF4B084"/>
        <bgColor rgb="FF000000"/>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theme="4" tint="0.399975585192419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cellStyleXfs>
  <cellXfs count="197">
    <xf numFmtId="0" fontId="0" fillId="0" borderId="0" xfId="0"/>
    <xf numFmtId="0" fontId="2" fillId="5" borderId="3" xfId="0" applyFont="1" applyFill="1" applyBorder="1" applyAlignment="1">
      <alignment vertical="center"/>
    </xf>
    <xf numFmtId="0" fontId="4" fillId="0" borderId="4" xfId="0" applyFont="1" applyBorder="1" applyAlignment="1">
      <alignment horizontal="center" vertical="center"/>
    </xf>
    <xf numFmtId="0" fontId="5" fillId="10" borderId="3" xfId="0" applyFont="1" applyFill="1" applyBorder="1" applyAlignment="1">
      <alignment vertical="center"/>
    </xf>
    <xf numFmtId="0" fontId="3" fillId="7" borderId="4" xfId="0" applyFont="1" applyFill="1" applyBorder="1" applyAlignment="1">
      <alignment horizontal="center" vertical="center"/>
    </xf>
    <xf numFmtId="0" fontId="2" fillId="0" borderId="4" xfId="0" applyFont="1" applyBorder="1" applyAlignment="1">
      <alignment horizontal="center" vertical="center"/>
    </xf>
    <xf numFmtId="0" fontId="5" fillId="14" borderId="3" xfId="0" applyFont="1" applyFill="1" applyBorder="1" applyAlignment="1">
      <alignment vertical="center"/>
    </xf>
    <xf numFmtId="0" fontId="5" fillId="3" borderId="3" xfId="0" applyFont="1" applyFill="1" applyBorder="1" applyAlignment="1">
      <alignment vertical="center"/>
    </xf>
    <xf numFmtId="0" fontId="3" fillId="0" borderId="4" xfId="0" applyFont="1" applyBorder="1" applyAlignment="1">
      <alignment horizontal="center" vertical="center"/>
    </xf>
    <xf numFmtId="0" fontId="5" fillId="27" borderId="3" xfId="0" applyFont="1" applyFill="1" applyBorder="1" applyAlignment="1">
      <alignment vertical="center"/>
    </xf>
    <xf numFmtId="167" fontId="6" fillId="18" borderId="4" xfId="0" applyNumberFormat="1" applyFont="1" applyFill="1" applyBorder="1" applyAlignment="1" applyProtection="1">
      <alignment horizontal="center" vertical="center"/>
      <protection locked="0"/>
    </xf>
    <xf numFmtId="14" fontId="2" fillId="0" borderId="4" xfId="0" applyNumberFormat="1" applyFont="1" applyBorder="1" applyAlignment="1">
      <alignment horizontal="center" vertical="center"/>
    </xf>
    <xf numFmtId="14" fontId="4" fillId="0" borderId="4" xfId="0" applyNumberFormat="1" applyFont="1" applyBorder="1" applyAlignment="1">
      <alignment horizontal="center" vertical="center"/>
    </xf>
    <xf numFmtId="14" fontId="2" fillId="0" borderId="4" xfId="0" applyNumberFormat="1" applyFont="1" applyBorder="1" applyAlignment="1" applyProtection="1">
      <alignment horizontal="center" vertical="center"/>
      <protection locked="0"/>
    </xf>
    <xf numFmtId="167" fontId="6" fillId="0" borderId="4" xfId="0" applyNumberFormat="1" applyFont="1" applyBorder="1" applyAlignment="1" applyProtection="1">
      <alignment horizontal="center" vertical="center"/>
      <protection locked="0"/>
    </xf>
    <xf numFmtId="0" fontId="5" fillId="11" borderId="3" xfId="0" applyFont="1" applyFill="1" applyBorder="1" applyAlignment="1">
      <alignment vertical="center"/>
    </xf>
    <xf numFmtId="0" fontId="5" fillId="30" borderId="3" xfId="0" applyFont="1" applyFill="1" applyBorder="1" applyAlignment="1">
      <alignment vertical="center"/>
    </xf>
    <xf numFmtId="0" fontId="5" fillId="2" borderId="3" xfId="0" applyFont="1" applyFill="1" applyBorder="1" applyAlignment="1">
      <alignment vertical="center"/>
    </xf>
    <xf numFmtId="0" fontId="5" fillId="31" borderId="3" xfId="0" applyFont="1" applyFill="1" applyBorder="1" applyAlignment="1">
      <alignment vertical="center"/>
    </xf>
    <xf numFmtId="0" fontId="3" fillId="6" borderId="4" xfId="0" applyFont="1" applyFill="1" applyBorder="1" applyAlignment="1" applyProtection="1">
      <alignment horizontal="center" vertical="center"/>
      <protection locked="0"/>
    </xf>
    <xf numFmtId="0" fontId="2" fillId="5" borderId="1" xfId="0" applyFont="1" applyFill="1" applyBorder="1" applyAlignment="1">
      <alignment vertical="center"/>
    </xf>
    <xf numFmtId="0" fontId="9" fillId="34" borderId="4" xfId="0" applyFont="1" applyFill="1" applyBorder="1" applyAlignment="1">
      <alignment horizontal="center"/>
    </xf>
    <xf numFmtId="0" fontId="9" fillId="34" borderId="0" xfId="0" applyFont="1" applyFill="1" applyAlignment="1">
      <alignment horizontal="center"/>
    </xf>
    <xf numFmtId="164" fontId="4" fillId="0" borderId="4" xfId="0" applyNumberFormat="1" applyFont="1" applyBorder="1" applyAlignment="1">
      <alignment vertical="center"/>
    </xf>
    <xf numFmtId="0" fontId="4" fillId="0" borderId="4" xfId="0" applyFont="1" applyBorder="1" applyAlignment="1">
      <alignment vertical="center"/>
    </xf>
    <xf numFmtId="0" fontId="8" fillId="0" borderId="4" xfId="0" applyFont="1" applyBorder="1" applyAlignment="1">
      <alignment vertical="center"/>
    </xf>
    <xf numFmtId="0" fontId="8" fillId="0" borderId="0" xfId="0" applyFont="1" applyAlignment="1">
      <alignment vertical="center"/>
    </xf>
    <xf numFmtId="164" fontId="4" fillId="20" borderId="4" xfId="0" applyNumberFormat="1" applyFont="1" applyFill="1" applyBorder="1" applyAlignment="1">
      <alignment vertical="center"/>
    </xf>
    <xf numFmtId="0" fontId="3" fillId="6" borderId="4" xfId="0" applyFont="1" applyFill="1" applyBorder="1" applyAlignment="1">
      <alignment vertical="center"/>
    </xf>
    <xf numFmtId="0" fontId="3" fillId="6" borderId="0" xfId="0" applyFont="1" applyFill="1" applyAlignment="1">
      <alignment vertical="center"/>
    </xf>
    <xf numFmtId="0" fontId="11" fillId="20" borderId="4" xfId="0" applyFont="1" applyFill="1" applyBorder="1" applyAlignment="1">
      <alignment vertical="center"/>
    </xf>
    <xf numFmtId="0" fontId="11" fillId="20" borderId="0" xfId="0" applyFont="1" applyFill="1" applyAlignment="1">
      <alignment vertical="center"/>
    </xf>
    <xf numFmtId="164" fontId="11" fillId="20" borderId="4" xfId="0" applyNumberFormat="1" applyFont="1" applyFill="1"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pplyProtection="1">
      <alignment horizontal="center" vertical="center"/>
      <protection locked="0"/>
    </xf>
    <xf numFmtId="0" fontId="2" fillId="3" borderId="2" xfId="0" applyFont="1" applyFill="1" applyBorder="1" applyAlignment="1">
      <alignment horizontal="center" vertical="center"/>
    </xf>
    <xf numFmtId="14" fontId="2" fillId="0" borderId="2" xfId="0" applyNumberFormat="1" applyFont="1" applyBorder="1" applyAlignment="1">
      <alignment horizontal="center" vertical="center"/>
    </xf>
    <xf numFmtId="0" fontId="2" fillId="3" borderId="2" xfId="0" applyFont="1" applyFill="1" applyBorder="1" applyAlignment="1" applyProtection="1">
      <alignment horizontal="center" vertical="center"/>
      <protection locked="0"/>
    </xf>
    <xf numFmtId="164" fontId="2" fillId="3" borderId="2" xfId="0" applyNumberFormat="1" applyFont="1" applyFill="1" applyBorder="1" applyAlignment="1" applyProtection="1">
      <alignment horizontal="center" vertical="center"/>
      <protection locked="0"/>
    </xf>
    <xf numFmtId="0" fontId="2" fillId="4" borderId="2" xfId="0" applyFont="1" applyFill="1" applyBorder="1" applyAlignment="1" applyProtection="1">
      <alignment horizontal="center" vertical="top"/>
      <protection locked="0"/>
    </xf>
    <xf numFmtId="0" fontId="2" fillId="4" borderId="2" xfId="0" applyFont="1" applyFill="1" applyBorder="1" applyAlignment="1" applyProtection="1">
      <alignment horizontal="center" vertical="center"/>
      <protection locked="0"/>
    </xf>
    <xf numFmtId="0" fontId="2" fillId="0" borderId="0" xfId="0" applyFont="1" applyAlignment="1">
      <alignment horizontal="center" vertical="center"/>
    </xf>
    <xf numFmtId="0" fontId="3" fillId="5" borderId="4" xfId="0" applyFont="1" applyFill="1" applyBorder="1" applyAlignment="1">
      <alignment horizontal="center" vertical="center"/>
    </xf>
    <xf numFmtId="0" fontId="2" fillId="6" borderId="4" xfId="0" applyFont="1" applyFill="1" applyBorder="1" applyAlignment="1" applyProtection="1">
      <alignment horizontal="center" vertical="center"/>
      <protection locked="0"/>
    </xf>
    <xf numFmtId="0" fontId="2" fillId="7" borderId="4" xfId="0" applyFont="1" applyFill="1" applyBorder="1" applyAlignment="1">
      <alignment horizontal="center" vertical="center"/>
    </xf>
    <xf numFmtId="14" fontId="2" fillId="7" borderId="4" xfId="0" applyNumberFormat="1" applyFont="1" applyFill="1" applyBorder="1" applyAlignment="1">
      <alignment horizontal="center" vertical="center"/>
    </xf>
    <xf numFmtId="0" fontId="2" fillId="7" borderId="4" xfId="0" applyFont="1" applyFill="1" applyBorder="1" applyAlignment="1">
      <alignment horizontal="center" vertical="center" readingOrder="1"/>
    </xf>
    <xf numFmtId="1" fontId="2" fillId="7" borderId="4" xfId="0" applyNumberFormat="1" applyFont="1" applyFill="1" applyBorder="1" applyAlignment="1">
      <alignment horizontal="center" vertical="center" readingOrder="1"/>
    </xf>
    <xf numFmtId="15" fontId="3" fillId="7" borderId="4" xfId="3" applyNumberFormat="1" applyFont="1" applyFill="1" applyBorder="1" applyAlignment="1">
      <alignment horizontal="center" vertical="center"/>
    </xf>
    <xf numFmtId="0" fontId="2" fillId="7" borderId="4" xfId="0" applyFont="1" applyFill="1" applyBorder="1" applyAlignment="1" applyProtection="1">
      <alignment horizontal="center" vertical="center"/>
      <protection locked="0"/>
    </xf>
    <xf numFmtId="10" fontId="2" fillId="7" borderId="4" xfId="0" applyNumberFormat="1" applyFont="1" applyFill="1" applyBorder="1" applyAlignment="1" applyProtection="1">
      <alignment horizontal="center" vertical="center"/>
      <protection locked="0"/>
    </xf>
    <xf numFmtId="164" fontId="3" fillId="7" borderId="4" xfId="2" applyNumberFormat="1" applyFont="1" applyFill="1" applyBorder="1" applyAlignment="1" applyProtection="1">
      <alignment horizontal="center" vertical="center"/>
      <protection locked="0"/>
    </xf>
    <xf numFmtId="10" fontId="3" fillId="7" borderId="4" xfId="0" applyNumberFormat="1" applyFont="1" applyFill="1" applyBorder="1" applyAlignment="1" applyProtection="1">
      <alignment horizontal="center" vertical="center"/>
      <protection locked="0"/>
    </xf>
    <xf numFmtId="44" fontId="3" fillId="7" borderId="4" xfId="0" applyNumberFormat="1" applyFont="1" applyFill="1" applyBorder="1" applyAlignment="1" applyProtection="1">
      <alignment horizontal="center" vertical="center"/>
      <protection locked="0"/>
    </xf>
    <xf numFmtId="1" fontId="2" fillId="7" borderId="4" xfId="0" applyNumberFormat="1" applyFont="1" applyFill="1" applyBorder="1" applyAlignment="1" applyProtection="1">
      <alignment horizontal="center" vertical="center"/>
      <protection locked="0"/>
    </xf>
    <xf numFmtId="3" fontId="2" fillId="7" borderId="4" xfId="0" applyNumberFormat="1" applyFont="1" applyFill="1" applyBorder="1" applyAlignment="1" applyProtection="1">
      <alignment horizontal="center" vertical="center"/>
      <protection locked="0"/>
    </xf>
    <xf numFmtId="3" fontId="2" fillId="7" borderId="4" xfId="0" applyNumberFormat="1" applyFont="1" applyFill="1" applyBorder="1" applyAlignment="1" applyProtection="1">
      <alignment horizontal="left" vertical="top"/>
      <protection locked="0"/>
    </xf>
    <xf numFmtId="10" fontId="2" fillId="0" borderId="4" xfId="0" applyNumberFormat="1" applyFont="1" applyBorder="1" applyAlignment="1" applyProtection="1">
      <alignment horizontal="center" vertical="center"/>
      <protection locked="0"/>
    </xf>
    <xf numFmtId="0" fontId="4" fillId="8" borderId="4" xfId="0" applyFont="1" applyFill="1" applyBorder="1" applyAlignment="1">
      <alignment vertical="center"/>
    </xf>
    <xf numFmtId="0" fontId="2" fillId="9" borderId="4" xfId="0" applyFont="1" applyFill="1" applyBorder="1" applyAlignment="1">
      <alignment horizontal="center" vertical="center" readingOrder="1"/>
    </xf>
    <xf numFmtId="0" fontId="2" fillId="0" borderId="0" xfId="0" applyFont="1" applyAlignment="1"/>
    <xf numFmtId="14" fontId="3" fillId="7" borderId="4" xfId="0" applyNumberFormat="1" applyFont="1" applyFill="1" applyBorder="1" applyAlignment="1">
      <alignment horizontal="center" vertical="center"/>
    </xf>
    <xf numFmtId="1" fontId="3" fillId="7" borderId="4" xfId="0" applyNumberFormat="1" applyFont="1" applyFill="1" applyBorder="1" applyAlignment="1">
      <alignment horizontal="center" vertical="center"/>
    </xf>
    <xf numFmtId="15" fontId="3" fillId="7" borderId="4" xfId="0" applyNumberFormat="1" applyFont="1" applyFill="1" applyBorder="1" applyAlignment="1">
      <alignment horizontal="center" vertical="center"/>
    </xf>
    <xf numFmtId="15" fontId="3" fillId="11" borderId="4" xfId="3" applyNumberFormat="1" applyFont="1" applyFill="1" applyBorder="1" applyAlignment="1">
      <alignment horizontal="center" vertical="center"/>
    </xf>
    <xf numFmtId="43" fontId="3" fillId="7" borderId="4" xfId="1" applyFont="1" applyFill="1" applyBorder="1" applyAlignment="1" applyProtection="1">
      <alignment horizontal="center" vertical="center"/>
      <protection locked="0"/>
    </xf>
    <xf numFmtId="10" fontId="3" fillId="7" borderId="4" xfId="3" applyNumberFormat="1" applyFont="1" applyFill="1" applyBorder="1" applyAlignment="1" applyProtection="1">
      <alignment horizontal="center" vertical="center"/>
      <protection locked="0"/>
    </xf>
    <xf numFmtId="164" fontId="3" fillId="12" borderId="4" xfId="4" applyNumberFormat="1" applyFont="1" applyFill="1" applyBorder="1" applyAlignment="1" applyProtection="1">
      <alignment horizontal="center" vertical="center"/>
      <protection locked="0"/>
    </xf>
    <xf numFmtId="1" fontId="3" fillId="7" borderId="4" xfId="1" applyNumberFormat="1" applyFont="1" applyFill="1" applyBorder="1" applyAlignment="1" applyProtection="1">
      <alignment horizontal="center" vertical="center"/>
      <protection locked="0"/>
    </xf>
    <xf numFmtId="166" fontId="3" fillId="7" borderId="4" xfId="1" applyNumberFormat="1" applyFont="1" applyFill="1" applyBorder="1" applyAlignment="1" applyProtection="1">
      <alignment horizontal="left" vertical="top"/>
      <protection locked="0"/>
    </xf>
    <xf numFmtId="0" fontId="2" fillId="13" borderId="4" xfId="0" applyFont="1" applyFill="1" applyBorder="1" applyAlignment="1">
      <alignment horizontal="center" vertical="center"/>
    </xf>
    <xf numFmtId="0" fontId="2" fillId="0" borderId="0" xfId="0" applyFont="1" applyAlignment="1">
      <alignment horizontal="center"/>
    </xf>
    <xf numFmtId="14" fontId="3" fillId="0" borderId="4" xfId="0" applyNumberFormat="1" applyFont="1" applyBorder="1" applyAlignment="1">
      <alignment horizontal="center" vertical="center"/>
    </xf>
    <xf numFmtId="15" fontId="3" fillId="0" borderId="4" xfId="3" applyNumberFormat="1" applyFont="1" applyBorder="1" applyAlignment="1">
      <alignment horizontal="center" vertical="center"/>
    </xf>
    <xf numFmtId="0" fontId="3" fillId="7" borderId="4" xfId="0" applyFont="1" applyFill="1" applyBorder="1" applyAlignment="1" applyProtection="1">
      <alignment horizontal="center" vertical="center"/>
      <protection locked="0"/>
    </xf>
    <xf numFmtId="164" fontId="3" fillId="7" borderId="4" xfId="4" applyNumberFormat="1" applyFont="1" applyFill="1" applyBorder="1" applyAlignment="1" applyProtection="1">
      <alignment horizontal="center" vertical="center"/>
      <protection locked="0"/>
    </xf>
    <xf numFmtId="0" fontId="2" fillId="15" borderId="4" xfId="0" applyFont="1" applyFill="1" applyBorder="1" applyAlignment="1">
      <alignment horizontal="center" vertical="center" readingOrder="1"/>
    </xf>
    <xf numFmtId="1" fontId="3" fillId="0" borderId="4" xfId="0" applyNumberFormat="1" applyFont="1" applyBorder="1" applyAlignment="1">
      <alignment horizontal="center" vertical="center"/>
    </xf>
    <xf numFmtId="9" fontId="3" fillId="7" borderId="4" xfId="0" applyNumberFormat="1" applyFont="1" applyFill="1" applyBorder="1" applyAlignment="1" applyProtection="1">
      <alignment horizontal="center" vertical="center"/>
      <protection locked="0"/>
    </xf>
    <xf numFmtId="3" fontId="2" fillId="0" borderId="4" xfId="0" applyNumberFormat="1" applyFont="1" applyBorder="1" applyAlignment="1" applyProtection="1">
      <alignment horizontal="left" vertical="top"/>
      <protection locked="0"/>
    </xf>
    <xf numFmtId="0" fontId="2" fillId="16" borderId="4" xfId="0" applyFont="1" applyFill="1" applyBorder="1" applyAlignment="1">
      <alignment horizontal="center" vertical="center"/>
    </xf>
    <xf numFmtId="1" fontId="2" fillId="0" borderId="4" xfId="0" applyNumberFormat="1" applyFont="1" applyBorder="1" applyAlignment="1">
      <alignment horizontal="center" vertical="center"/>
    </xf>
    <xf numFmtId="15" fontId="3" fillId="0" borderId="4" xfId="0" applyNumberFormat="1" applyFont="1" applyBorder="1" applyAlignment="1">
      <alignment horizontal="center" vertical="center"/>
    </xf>
    <xf numFmtId="10" fontId="3" fillId="0" borderId="4" xfId="3" applyNumberFormat="1" applyFont="1" applyBorder="1" applyAlignment="1" applyProtection="1">
      <alignment horizontal="center" vertical="center"/>
      <protection locked="0"/>
    </xf>
    <xf numFmtId="164" fontId="3" fillId="0" borderId="4" xfId="4" applyNumberFormat="1" applyFont="1" applyBorder="1" applyAlignment="1" applyProtection="1">
      <alignment horizontal="center" vertical="center"/>
      <protection locked="0"/>
    </xf>
    <xf numFmtId="1" fontId="3" fillId="0" borderId="4" xfId="1" applyNumberFormat="1" applyFont="1" applyBorder="1" applyAlignment="1" applyProtection="1">
      <alignment horizontal="center" vertical="center"/>
      <protection locked="0"/>
    </xf>
    <xf numFmtId="10" fontId="3" fillId="0" borderId="4" xfId="0" applyNumberFormat="1"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164" fontId="3" fillId="0" borderId="4" xfId="2" applyNumberFormat="1" applyFont="1" applyBorder="1" applyAlignment="1" applyProtection="1">
      <alignment horizontal="center" vertical="center"/>
      <protection locked="0"/>
    </xf>
    <xf numFmtId="0" fontId="3" fillId="0" borderId="4" xfId="1" applyNumberFormat="1" applyFont="1" applyBorder="1" applyAlignment="1" applyProtection="1">
      <alignment horizontal="left" vertical="top"/>
      <protection locked="0"/>
    </xf>
    <xf numFmtId="164" fontId="2" fillId="0" borderId="4" xfId="2" applyNumberFormat="1" applyFont="1" applyBorder="1" applyAlignment="1" applyProtection="1">
      <alignment horizontal="center" vertical="center"/>
      <protection locked="0"/>
    </xf>
    <xf numFmtId="1" fontId="2" fillId="0" borderId="4" xfId="0" applyNumberFormat="1" applyFont="1" applyBorder="1" applyAlignment="1" applyProtection="1">
      <alignment horizontal="center" vertical="center"/>
      <protection locked="0"/>
    </xf>
    <xf numFmtId="0" fontId="3" fillId="17" borderId="4" xfId="0" applyFont="1" applyFill="1" applyBorder="1" applyAlignment="1">
      <alignment horizontal="center" vertical="center"/>
    </xf>
    <xf numFmtId="1" fontId="2" fillId="6" borderId="4" xfId="0" applyNumberFormat="1" applyFont="1" applyFill="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2" fillId="0" borderId="4" xfId="0" applyFont="1" applyBorder="1" applyAlignment="1">
      <alignment horizontal="center" vertical="center" readingOrder="1"/>
    </xf>
    <xf numFmtId="0" fontId="2" fillId="18" borderId="4" xfId="0" applyFont="1" applyFill="1" applyBorder="1" applyAlignment="1">
      <alignment horizontal="center" vertical="center" readingOrder="1"/>
    </xf>
    <xf numFmtId="1" fontId="2" fillId="7" borderId="4" xfId="0" applyNumberFormat="1" applyFont="1" applyFill="1" applyBorder="1" applyAlignment="1">
      <alignment horizontal="center" vertical="center"/>
    </xf>
    <xf numFmtId="0" fontId="2" fillId="0" borderId="0" xfId="0" applyFont="1" applyAlignment="1">
      <alignment vertical="center"/>
    </xf>
    <xf numFmtId="164" fontId="2" fillId="0" borderId="4" xfId="0" applyNumberFormat="1" applyFont="1" applyBorder="1" applyAlignment="1" applyProtection="1">
      <alignment horizontal="center" vertical="center"/>
      <protection locked="0"/>
    </xf>
    <xf numFmtId="9" fontId="2" fillId="0" borderId="4" xfId="0" applyNumberFormat="1" applyFont="1" applyBorder="1" applyAlignment="1" applyProtection="1">
      <alignment horizontal="center" vertical="center"/>
      <protection locked="0"/>
    </xf>
    <xf numFmtId="1" fontId="3" fillId="0" borderId="4" xfId="0" applyNumberFormat="1" applyFont="1" applyBorder="1" applyAlignment="1" applyProtection="1">
      <alignment horizontal="center" vertical="center"/>
      <protection locked="0"/>
    </xf>
    <xf numFmtId="0" fontId="2" fillId="19" borderId="4" xfId="0" applyFont="1" applyFill="1" applyBorder="1" applyAlignment="1">
      <alignment horizontal="center" vertical="center"/>
    </xf>
    <xf numFmtId="14" fontId="3" fillId="20" borderId="4" xfId="0" applyNumberFormat="1" applyFont="1" applyFill="1" applyBorder="1" applyAlignment="1">
      <alignment horizontal="center" vertical="center"/>
    </xf>
    <xf numFmtId="0" fontId="3" fillId="20" borderId="4" xfId="0" applyFont="1" applyFill="1" applyBorder="1" applyAlignment="1">
      <alignment horizontal="center" vertical="center"/>
    </xf>
    <xf numFmtId="0" fontId="2" fillId="0" borderId="4" xfId="0" applyFont="1" applyBorder="1" applyAlignment="1"/>
    <xf numFmtId="166" fontId="3" fillId="0" borderId="4" xfId="1" applyNumberFormat="1" applyFont="1" applyBorder="1" applyAlignment="1" applyProtection="1">
      <alignment horizontal="left" vertical="top"/>
      <protection locked="0"/>
    </xf>
    <xf numFmtId="0" fontId="3" fillId="7" borderId="4" xfId="1" applyNumberFormat="1" applyFont="1" applyFill="1" applyBorder="1" applyAlignment="1" applyProtection="1">
      <alignment horizontal="left" vertical="top"/>
      <protection locked="0"/>
    </xf>
    <xf numFmtId="0" fontId="2" fillId="21" borderId="4" xfId="0" applyFont="1" applyFill="1" applyBorder="1" applyAlignment="1">
      <alignment horizontal="center" vertical="center"/>
    </xf>
    <xf numFmtId="0" fontId="2" fillId="15" borderId="4" xfId="0" applyFont="1" applyFill="1" applyBorder="1" applyAlignment="1">
      <alignment horizontal="center" vertical="center"/>
    </xf>
    <xf numFmtId="0" fontId="7" fillId="0" borderId="4" xfId="0" applyFont="1" applyBorder="1" applyAlignment="1">
      <alignment horizontal="center" vertical="center"/>
    </xf>
    <xf numFmtId="0" fontId="7" fillId="8" borderId="4" xfId="0" applyFont="1" applyFill="1" applyBorder="1" applyAlignment="1">
      <alignment horizontal="center" vertical="center"/>
    </xf>
    <xf numFmtId="164" fontId="2" fillId="7" borderId="4" xfId="2" applyNumberFormat="1" applyFont="1" applyFill="1" applyBorder="1" applyAlignment="1" applyProtection="1">
      <alignment horizontal="center" vertical="center"/>
      <protection locked="0"/>
    </xf>
    <xf numFmtId="0" fontId="5" fillId="23" borderId="3" xfId="0" applyFont="1" applyFill="1" applyBorder="1" applyAlignment="1">
      <alignment vertical="center"/>
    </xf>
    <xf numFmtId="1" fontId="2" fillId="0" borderId="4" xfId="0" applyNumberFormat="1" applyFont="1" applyBorder="1" applyAlignment="1">
      <alignment horizontal="center" vertical="center" readingOrder="1"/>
    </xf>
    <xf numFmtId="164" fontId="3" fillId="7" borderId="4" xfId="0" applyNumberFormat="1" applyFont="1" applyFill="1" applyBorder="1" applyAlignment="1" applyProtection="1">
      <alignment horizontal="right" vertical="center"/>
      <protection locked="0"/>
    </xf>
    <xf numFmtId="0" fontId="2" fillId="24" borderId="4" xfId="0" applyFont="1" applyFill="1" applyBorder="1" applyAlignment="1" applyProtection="1">
      <alignment horizontal="center" vertical="center"/>
      <protection locked="0"/>
    </xf>
    <xf numFmtId="164" fontId="3" fillId="7" borderId="4" xfId="0" applyNumberFormat="1" applyFont="1" applyFill="1" applyBorder="1" applyAlignment="1" applyProtection="1">
      <alignment horizontal="center" vertical="center"/>
      <protection locked="0"/>
    </xf>
    <xf numFmtId="9" fontId="2" fillId="0" borderId="0" xfId="3" applyFont="1" applyAlignment="1">
      <alignment horizontal="center" vertical="center"/>
    </xf>
    <xf numFmtId="0" fontId="2" fillId="25" borderId="4" xfId="0" applyFont="1" applyFill="1" applyBorder="1" applyAlignment="1">
      <alignment horizontal="center" vertical="center" readingOrder="1"/>
    </xf>
    <xf numFmtId="9" fontId="2" fillId="0" borderId="0" xfId="3" applyFont="1" applyAlignment="1">
      <alignment vertical="center"/>
    </xf>
    <xf numFmtId="3" fontId="2" fillId="7" borderId="4" xfId="0" applyNumberFormat="1" applyFont="1" applyFill="1" applyBorder="1" applyAlignment="1">
      <alignment horizontal="left" vertical="top"/>
    </xf>
    <xf numFmtId="43" fontId="3" fillId="7" borderId="4" xfId="0" applyNumberFormat="1" applyFont="1" applyFill="1" applyBorder="1" applyAlignment="1" applyProtection="1">
      <alignment horizontal="center" vertical="center"/>
      <protection locked="0"/>
    </xf>
    <xf numFmtId="164" fontId="3" fillId="11" borderId="4" xfId="4" applyNumberFormat="1" applyFont="1" applyFill="1" applyBorder="1" applyAlignment="1" applyProtection="1">
      <alignment horizontal="center" vertical="center"/>
      <protection locked="0"/>
    </xf>
    <xf numFmtId="0" fontId="4" fillId="8" borderId="4" xfId="0" applyFont="1" applyFill="1" applyBorder="1" applyAlignment="1">
      <alignment horizontal="center" vertical="center"/>
    </xf>
    <xf numFmtId="0" fontId="2" fillId="17" borderId="4" xfId="0" applyFont="1" applyFill="1" applyBorder="1" applyAlignment="1">
      <alignment horizontal="center" vertical="center" readingOrder="1"/>
    </xf>
    <xf numFmtId="0" fontId="2" fillId="20" borderId="4" xfId="0" applyFont="1" applyFill="1" applyBorder="1" applyAlignment="1">
      <alignment horizontal="center" vertical="center" readingOrder="1"/>
    </xf>
    <xf numFmtId="164" fontId="3" fillId="7" borderId="4" xfId="2" applyNumberFormat="1" applyFont="1" applyFill="1" applyBorder="1" applyAlignment="1" applyProtection="1">
      <alignment horizontal="right" vertical="center"/>
      <protection locked="0"/>
    </xf>
    <xf numFmtId="0" fontId="3" fillId="20" borderId="4" xfId="0" applyFont="1" applyFill="1" applyBorder="1" applyAlignment="1">
      <alignment horizontal="center" vertical="center" readingOrder="1"/>
    </xf>
    <xf numFmtId="15" fontId="3" fillId="12" borderId="4" xfId="3" applyNumberFormat="1" applyFont="1" applyFill="1" applyBorder="1" applyAlignment="1">
      <alignment horizontal="center" vertical="center"/>
    </xf>
    <xf numFmtId="14" fontId="2" fillId="7" borderId="4" xfId="0" applyNumberFormat="1" applyFont="1" applyFill="1" applyBorder="1" applyAlignment="1" applyProtection="1">
      <alignment horizontal="center" vertical="center"/>
      <protection locked="0"/>
    </xf>
    <xf numFmtId="164" fontId="2" fillId="7" borderId="4" xfId="0" applyNumberFormat="1" applyFont="1" applyFill="1" applyBorder="1" applyAlignment="1" applyProtection="1">
      <alignment horizontal="center" vertical="center"/>
      <protection locked="0"/>
    </xf>
    <xf numFmtId="167" fontId="3" fillId="7" borderId="4" xfId="0" applyNumberFormat="1" applyFont="1" applyFill="1" applyBorder="1" applyAlignment="1" applyProtection="1">
      <alignment horizontal="center" vertical="center"/>
      <protection locked="0"/>
    </xf>
    <xf numFmtId="0" fontId="8" fillId="7" borderId="4" xfId="0" applyFont="1" applyFill="1" applyBorder="1" applyAlignment="1">
      <alignment horizontal="center" vertical="center"/>
    </xf>
    <xf numFmtId="3" fontId="8" fillId="7" borderId="4" xfId="0" applyNumberFormat="1" applyFont="1" applyFill="1" applyBorder="1" applyAlignment="1" applyProtection="1">
      <alignment horizontal="left" vertical="top"/>
      <protection locked="0"/>
    </xf>
    <xf numFmtId="0" fontId="2" fillId="20" borderId="4" xfId="0" applyFont="1" applyFill="1" applyBorder="1" applyAlignment="1">
      <alignment horizontal="center" vertical="center"/>
    </xf>
    <xf numFmtId="0" fontId="3" fillId="18" borderId="4" xfId="0" applyFont="1" applyFill="1" applyBorder="1" applyAlignment="1">
      <alignment horizontal="center" vertical="center"/>
    </xf>
    <xf numFmtId="1" fontId="2" fillId="18" borderId="4" xfId="0" applyNumberFormat="1" applyFont="1" applyFill="1" applyBorder="1" applyAlignment="1">
      <alignment horizontal="center" vertical="center" readingOrder="1"/>
    </xf>
    <xf numFmtId="1" fontId="3" fillId="18" borderId="4" xfId="0" applyNumberFormat="1" applyFont="1" applyFill="1" applyBorder="1" applyAlignment="1">
      <alignment horizontal="center" vertical="center"/>
    </xf>
    <xf numFmtId="0" fontId="4" fillId="7" borderId="4" xfId="0" applyFont="1" applyFill="1" applyBorder="1" applyAlignment="1">
      <alignment horizontal="center" vertical="center"/>
    </xf>
    <xf numFmtId="10" fontId="3" fillId="7" borderId="4" xfId="0" applyNumberFormat="1" applyFont="1" applyFill="1" applyBorder="1" applyAlignment="1">
      <alignment horizontal="center" vertical="center"/>
    </xf>
    <xf numFmtId="3" fontId="4" fillId="7" borderId="4" xfId="0" applyNumberFormat="1" applyFont="1" applyFill="1" applyBorder="1" applyAlignment="1" applyProtection="1">
      <alignment horizontal="left" vertical="top"/>
      <protection locked="0"/>
    </xf>
    <xf numFmtId="164" fontId="3" fillId="0" borderId="4" xfId="2" applyNumberFormat="1" applyFont="1" applyFill="1" applyBorder="1" applyAlignment="1" applyProtection="1">
      <alignment horizontal="center" vertical="center"/>
      <protection locked="0"/>
    </xf>
    <xf numFmtId="0" fontId="3" fillId="28" borderId="4" xfId="0" applyFont="1" applyFill="1" applyBorder="1" applyAlignment="1">
      <alignment horizontal="center" vertical="center"/>
    </xf>
    <xf numFmtId="1" fontId="2" fillId="20" borderId="4" xfId="0" applyNumberFormat="1" applyFont="1" applyFill="1" applyBorder="1" applyAlignment="1">
      <alignment horizontal="center" vertical="center" readingOrder="1"/>
    </xf>
    <xf numFmtId="0" fontId="5" fillId="29" borderId="4" xfId="0" applyFont="1" applyFill="1" applyBorder="1" applyAlignment="1">
      <alignment horizontal="center" vertical="center" readingOrder="1"/>
    </xf>
    <xf numFmtId="0" fontId="3" fillId="12" borderId="4" xfId="0" applyFont="1" applyFill="1" applyBorder="1" applyAlignment="1">
      <alignment horizontal="center" vertical="center"/>
    </xf>
    <xf numFmtId="44" fontId="3" fillId="7" borderId="4" xfId="0" applyNumberFormat="1" applyFont="1" applyFill="1" applyBorder="1" applyAlignment="1" applyProtection="1">
      <alignment horizontal="right" vertical="center"/>
      <protection locked="0"/>
    </xf>
    <xf numFmtId="1" fontId="3" fillId="20" borderId="4" xfId="0" applyNumberFormat="1" applyFont="1" applyFill="1" applyBorder="1" applyAlignment="1">
      <alignment horizontal="center" vertical="center"/>
    </xf>
    <xf numFmtId="0" fontId="2" fillId="7" borderId="4" xfId="0" applyFont="1" applyFill="1" applyBorder="1" applyAlignment="1" applyProtection="1">
      <alignment horizontal="center" vertical="top"/>
      <protection locked="0"/>
    </xf>
    <xf numFmtId="0" fontId="3" fillId="7" borderId="4" xfId="0" applyFont="1" applyFill="1" applyBorder="1" applyAlignment="1">
      <alignment horizontal="center" vertical="center" readingOrder="1"/>
    </xf>
    <xf numFmtId="15" fontId="2" fillId="7" borderId="4" xfId="3" applyNumberFormat="1" applyFont="1" applyFill="1" applyBorder="1" applyAlignment="1">
      <alignment horizontal="center" vertical="center"/>
    </xf>
    <xf numFmtId="0" fontId="7" fillId="18" borderId="4" xfId="0" applyFont="1" applyFill="1" applyBorder="1" applyAlignment="1">
      <alignment horizontal="center" vertical="center"/>
    </xf>
    <xf numFmtId="1" fontId="8" fillId="6" borderId="4" xfId="0" applyNumberFormat="1" applyFont="1" applyFill="1" applyBorder="1" applyAlignment="1" applyProtection="1">
      <alignment horizontal="center" vertical="center"/>
      <protection locked="0"/>
    </xf>
    <xf numFmtId="0" fontId="2" fillId="32" borderId="4" xfId="0" applyFont="1" applyFill="1" applyBorder="1" applyAlignment="1">
      <alignment horizontal="center" vertical="center"/>
    </xf>
    <xf numFmtId="3" fontId="2" fillId="0" borderId="4" xfId="1" applyNumberFormat="1" applyFont="1" applyBorder="1" applyAlignment="1" applyProtection="1">
      <alignment horizontal="left" vertical="top"/>
      <protection locked="0"/>
    </xf>
    <xf numFmtId="0" fontId="5" fillId="33" borderId="3" xfId="0" applyFont="1" applyFill="1" applyBorder="1" applyAlignment="1">
      <alignment vertical="center"/>
    </xf>
    <xf numFmtId="10" fontId="4" fillId="0" borderId="4" xfId="0" applyNumberFormat="1" applyFont="1" applyBorder="1" applyAlignment="1" applyProtection="1">
      <alignment horizontal="left" vertical="top"/>
      <protection locked="0"/>
    </xf>
    <xf numFmtId="164" fontId="4" fillId="7" borderId="4" xfId="2" applyNumberFormat="1" applyFont="1" applyFill="1" applyBorder="1" applyAlignment="1" applyProtection="1">
      <alignment horizontal="center" vertical="center"/>
      <protection locked="0"/>
    </xf>
    <xf numFmtId="168" fontId="2" fillId="7" borderId="4" xfId="0" applyNumberFormat="1" applyFont="1" applyFill="1" applyBorder="1" applyAlignment="1" applyProtection="1">
      <alignment horizontal="center" vertical="center"/>
      <protection locked="0"/>
    </xf>
    <xf numFmtId="0" fontId="2" fillId="0" borderId="0" xfId="0" applyFont="1" applyAlignment="1" applyProtection="1">
      <alignment horizontal="center" vertical="center"/>
      <protection locked="0"/>
    </xf>
    <xf numFmtId="3" fontId="2" fillId="0" borderId="0" xfId="0" applyNumberFormat="1" applyFont="1" applyAlignment="1" applyProtection="1">
      <alignment horizontal="center" vertical="center"/>
      <protection locked="0"/>
    </xf>
    <xf numFmtId="14" fontId="2" fillId="0" borderId="0" xfId="0" applyNumberFormat="1" applyFont="1" applyAlignment="1">
      <alignment horizontal="center" vertical="center"/>
    </xf>
    <xf numFmtId="164" fontId="2" fillId="0" borderId="0" xfId="0" applyNumberFormat="1" applyFont="1" applyAlignment="1" applyProtection="1">
      <alignment horizontal="center" vertical="center"/>
      <protection locked="0"/>
    </xf>
    <xf numFmtId="10" fontId="2" fillId="0" borderId="0" xfId="0" applyNumberFormat="1" applyFont="1" applyAlignment="1" applyProtection="1">
      <alignment horizontal="center" vertical="center"/>
      <protection locked="0"/>
    </xf>
    <xf numFmtId="44" fontId="3" fillId="0" borderId="0" xfId="0" applyNumberFormat="1" applyFont="1" applyAlignment="1" applyProtection="1">
      <alignment horizontal="center" vertical="center"/>
      <protection locked="0"/>
    </xf>
    <xf numFmtId="0" fontId="2" fillId="0" borderId="0" xfId="0" applyFont="1" applyAlignment="1" applyProtection="1">
      <alignment horizontal="left" vertical="top"/>
      <protection locked="0"/>
    </xf>
    <xf numFmtId="0" fontId="2" fillId="0" borderId="0" xfId="0" applyFont="1" applyAlignment="1" applyProtection="1">
      <alignment horizontal="center" vertical="top"/>
      <protection locked="0"/>
    </xf>
    <xf numFmtId="3" fontId="2" fillId="7" borderId="6" xfId="0" applyNumberFormat="1" applyFont="1" applyFill="1" applyBorder="1" applyAlignment="1">
      <alignment horizontal="left" vertical="top"/>
    </xf>
    <xf numFmtId="3" fontId="2" fillId="7" borderId="0" xfId="0" applyNumberFormat="1" applyFont="1" applyFill="1" applyAlignment="1">
      <alignment horizontal="left" vertical="top"/>
    </xf>
    <xf numFmtId="164" fontId="9" fillId="34" borderId="4" xfId="0" applyNumberFormat="1" applyFont="1" applyFill="1" applyBorder="1" applyAlignment="1"/>
    <xf numFmtId="0" fontId="9" fillId="34" borderId="4" xfId="0" applyFont="1" applyFill="1" applyBorder="1" applyAlignment="1"/>
    <xf numFmtId="164" fontId="4" fillId="0" borderId="4" xfId="0" applyNumberFormat="1" applyFont="1" applyBorder="1" applyAlignment="1"/>
    <xf numFmtId="0" fontId="4" fillId="0" borderId="4" xfId="0" applyFont="1" applyBorder="1" applyAlignment="1"/>
    <xf numFmtId="0" fontId="3" fillId="0" borderId="4" xfId="0" applyFont="1" applyBorder="1" applyAlignment="1"/>
    <xf numFmtId="0" fontId="3" fillId="0" borderId="0" xfId="0" applyFont="1" applyAlignment="1"/>
    <xf numFmtId="0" fontId="4" fillId="20" borderId="4" xfId="0" applyFont="1" applyFill="1" applyBorder="1" applyAlignment="1">
      <alignment vertical="center"/>
    </xf>
    <xf numFmtId="0" fontId="4" fillId="20" borderId="0" xfId="0" applyFont="1" applyFill="1" applyAlignment="1">
      <alignment vertical="center"/>
    </xf>
    <xf numFmtId="0" fontId="8" fillId="0" borderId="4" xfId="0" applyFont="1" applyBorder="1" applyAlignment="1"/>
    <xf numFmtId="0" fontId="8" fillId="0" borderId="0" xfId="0" applyFont="1" applyAlignment="1"/>
    <xf numFmtId="0" fontId="8" fillId="0" borderId="7" xfId="0" applyFont="1" applyBorder="1" applyAlignment="1">
      <alignment horizontal="left" vertical="center"/>
    </xf>
    <xf numFmtId="0" fontId="8" fillId="0" borderId="0" xfId="0" applyFont="1" applyAlignment="1">
      <alignment horizontal="left" vertical="center"/>
    </xf>
    <xf numFmtId="164" fontId="4" fillId="22" borderId="4" xfId="0" applyNumberFormat="1" applyFont="1" applyFill="1" applyBorder="1" applyAlignment="1"/>
    <xf numFmtId="0" fontId="4" fillId="22" borderId="4" xfId="0" applyFont="1" applyFill="1" applyBorder="1" applyAlignment="1"/>
    <xf numFmtId="164" fontId="10" fillId="20" borderId="4" xfId="0" applyNumberFormat="1" applyFont="1" applyFill="1" applyBorder="1" applyAlignment="1"/>
    <xf numFmtId="0" fontId="10" fillId="20" borderId="4" xfId="0" applyFont="1" applyFill="1" applyBorder="1" applyAlignment="1"/>
    <xf numFmtId="0" fontId="2" fillId="0" borderId="0" xfId="0" applyFont="1" applyBorder="1" applyAlignment="1">
      <alignment horizontal="center" vertical="center"/>
    </xf>
    <xf numFmtId="0" fontId="2" fillId="5" borderId="5" xfId="0" applyFont="1" applyFill="1" applyBorder="1" applyAlignment="1">
      <alignment vertical="center"/>
    </xf>
    <xf numFmtId="0" fontId="3" fillId="7" borderId="0" xfId="0" applyFont="1" applyFill="1" applyBorder="1" applyAlignment="1">
      <alignment horizontal="center" vertical="center"/>
    </xf>
    <xf numFmtId="0" fontId="4" fillId="8" borderId="0" xfId="0" applyFont="1" applyFill="1" applyBorder="1" applyAlignment="1">
      <alignment horizontal="center" vertical="center"/>
    </xf>
    <xf numFmtId="1" fontId="3" fillId="6" borderId="4" xfId="0" applyNumberFormat="1" applyFont="1" applyFill="1" applyBorder="1" applyAlignment="1" applyProtection="1">
      <alignment horizontal="center" vertical="center"/>
      <protection locked="0"/>
    </xf>
    <xf numFmtId="1" fontId="3" fillId="22" borderId="4" xfId="0" applyNumberFormat="1" applyFont="1" applyFill="1" applyBorder="1" applyAlignment="1" applyProtection="1">
      <alignment horizontal="center" vertical="center"/>
      <protection locked="0"/>
    </xf>
    <xf numFmtId="1" fontId="4" fillId="0" borderId="4" xfId="0" applyNumberFormat="1" applyFont="1" applyBorder="1" applyAlignment="1">
      <alignment horizontal="center" vertical="center"/>
    </xf>
    <xf numFmtId="1" fontId="3" fillId="26" borderId="4" xfId="1" applyNumberFormat="1" applyFont="1" applyFill="1" applyBorder="1" applyAlignment="1" applyProtection="1">
      <alignment horizontal="center" vertical="center"/>
      <protection locked="0"/>
    </xf>
    <xf numFmtId="1" fontId="2" fillId="11" borderId="4" xfId="0" applyNumberFormat="1" applyFont="1" applyFill="1" applyBorder="1" applyAlignment="1">
      <alignment horizontal="center" vertical="center"/>
    </xf>
    <xf numFmtId="1" fontId="3" fillId="11" borderId="4" xfId="0" applyNumberFormat="1" applyFont="1" applyFill="1" applyBorder="1" applyAlignment="1" applyProtection="1">
      <alignment horizontal="center" vertical="center"/>
      <protection locked="0"/>
    </xf>
  </cellXfs>
  <cellStyles count="5">
    <cellStyle name="Millares" xfId="1" builtinId="3"/>
    <cellStyle name="Moneda" xfId="2" builtinId="4"/>
    <cellStyle name="Moneda 2" xfId="4" xr:uid="{4D33FEB4-27CC-44ED-B7CA-73D89E792F97}"/>
    <cellStyle name="Normal" xfId="0" builtinId="0"/>
    <cellStyle name="Porcentaje" xfId="3" builtinId="5"/>
  </cellStyles>
  <dxfs count="80">
    <dxf>
      <font>
        <strike val="0"/>
        <outline val="0"/>
        <shadow val="0"/>
        <vertAlign val="baseline"/>
        <sz val="8"/>
        <name val="Calibri"/>
        <scheme val="minor"/>
      </font>
      <numFmt numFmtId="1" formatCode="0"/>
      <fill>
        <patternFill>
          <bgColor theme="0"/>
        </patternFill>
      </fill>
      <alignment textRotation="0" wrapText="0" indent="0" justifyLastLine="0" shrinkToFit="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center" textRotation="0" wrapText="1" indent="0" justifyLastLine="0" shrinkToFit="0" readingOrder="0"/>
      <protection locked="0" hidden="0"/>
    </dxf>
    <dxf>
      <font>
        <strike val="0"/>
        <outline val="0"/>
        <shadow val="0"/>
        <vertAlign val="baseline"/>
        <sz val="8"/>
        <name val="Calibri"/>
        <scheme val="minor"/>
      </font>
      <numFmt numFmtId="0" formatCode="General"/>
      <alignment textRotation="0" wrapText="0" indent="0" justifyLastLine="0" shrinkToFit="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6"/>
        <color theme="1"/>
        <name val="Calibri"/>
        <family val="2"/>
        <scheme val="minor"/>
      </font>
      <fill>
        <patternFill patternType="solid">
          <fgColor indexed="64"/>
          <bgColor rgb="FFFFFF00"/>
        </patternFill>
      </fill>
      <alignment horizontal="center" vertical="center" textRotation="0" wrapText="1" indent="0" justifyLastLine="0" shrinkToFit="0" readingOrder="0"/>
      <protection locked="0" hidden="0"/>
    </dxf>
    <dxf>
      <font>
        <strike val="0"/>
        <outline val="0"/>
        <shadow val="0"/>
        <vertAlign val="baseline"/>
        <sz val="8"/>
        <name val="Calibri"/>
        <scheme val="minor"/>
      </font>
      <numFmt numFmtId="0" formatCode="General"/>
      <alignment textRotation="0" wrapText="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top" textRotation="0" wrapText="1" indent="0" justifyLastLine="0" shrinkToFit="0" readingOrder="0"/>
      <border diagonalUp="0" diagonalDown="0" outline="0">
        <left/>
        <right style="thin">
          <color theme="4" tint="0.39997558519241921"/>
        </right>
        <top/>
        <bottom/>
      </border>
      <protection locked="0" hidden="0"/>
    </dxf>
    <dxf>
      <font>
        <strike val="0"/>
        <outline val="0"/>
        <shadow val="0"/>
        <u val="none"/>
        <vertAlign val="baseline"/>
        <sz val="8"/>
        <color theme="1"/>
        <name val="Calibri"/>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top" textRotation="0" wrapText="1" indent="0" justifyLastLine="0" shrinkToFit="0" readingOrder="0"/>
      <border diagonalUp="0" diagonalDown="0" outline="0">
        <left/>
        <right style="thin">
          <color theme="4" tint="0.39997558519241921"/>
        </right>
        <top/>
        <bottom/>
      </border>
      <protection locked="0" hidden="0"/>
    </dxf>
    <dxf>
      <font>
        <b val="0"/>
        <i val="0"/>
        <strike val="0"/>
        <condense val="0"/>
        <extend val="0"/>
        <outline val="0"/>
        <shadow val="0"/>
        <u val="none"/>
        <vertAlign val="baseline"/>
        <sz val="8"/>
        <color theme="1"/>
        <name val="Calibri"/>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theme="1"/>
        <name val="Calibri"/>
        <family val="2"/>
        <scheme val="minor"/>
      </font>
      <alignment horizontal="center" vertical="top" textRotation="0" wrapText="1" indent="0" justifyLastLine="0" shrinkToFit="0" readingOrder="0"/>
      <border diagonalUp="0" diagonalDown="0" outline="0">
        <left/>
        <right style="thin">
          <color theme="4" tint="0.39997558519241921"/>
        </right>
        <top/>
        <bottom/>
      </border>
      <protection locked="0" hidden="0"/>
    </dxf>
    <dxf>
      <font>
        <b val="0"/>
        <i val="0"/>
        <strike val="0"/>
        <condense val="0"/>
        <extend val="0"/>
        <outline val="0"/>
        <shadow val="0"/>
        <u val="none"/>
        <vertAlign val="baseline"/>
        <sz val="8"/>
        <color theme="1"/>
        <name val="Calibri"/>
        <scheme val="minor"/>
      </font>
      <numFmt numFmtId="3"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minor"/>
      </font>
      <numFmt numFmtId="3" formatCode="#,##0"/>
      <alignment horizontal="center" vertical="center" textRotation="0" wrapText="1" indent="0" justifyLastLine="0" shrinkToFit="0" readingOrder="0"/>
      <border diagonalUp="0" diagonalDown="0" outline="0">
        <left/>
        <right style="thin">
          <color theme="4" tint="0.39997558519241921"/>
        </right>
        <top/>
        <bottom/>
      </border>
      <protection locked="0" hidden="0"/>
    </dxf>
    <dxf>
      <font>
        <strike val="0"/>
        <outline val="0"/>
        <shadow val="0"/>
        <vertAlign val="baseline"/>
        <sz val="8"/>
        <name val="Calibri"/>
        <scheme val="minor"/>
      </font>
      <numFmt numFmtId="1" formatCode="0"/>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6"/>
        <color theme="1"/>
        <name val="Calibri"/>
        <family val="2"/>
        <scheme val="minor"/>
      </font>
      <numFmt numFmtId="34" formatCode="_-&quot;$&quot;\ * #,##0.00_-;\-&quot;$&quot;\ * #,##0.00_-;_-&quot;$&quot;\ * &quot;-&quot;??_-;_-@_-"/>
      <fill>
        <patternFill patternType="solid">
          <fgColor indexed="64"/>
          <bgColor rgb="FFFFFF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auto="1"/>
        <name val="Calibri"/>
        <scheme val="minor"/>
      </font>
      <numFmt numFmtId="34" formatCode="_-&quot;$&quot;\ * #,##0.00_-;\-&quot;$&quot;\ * #,##0.00_-;_-&quot;$&quot;\ * &quot;-&quot;??_-;_-@_-"/>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6"/>
        <color theme="1"/>
        <name val="Calibri"/>
        <family val="2"/>
        <scheme val="minor"/>
      </font>
      <numFmt numFmtId="34" formatCode="_-&quot;$&quot;\ * #,##0.00_-;\-&quot;$&quot;\ * #,##0.00_-;_-&quot;$&quot;\ * &quot;-&quot;??_-;_-@_-"/>
      <fill>
        <patternFill patternType="solid">
          <fgColor indexed="64"/>
          <bgColor rgb="FFFFFF00"/>
        </patternFill>
      </fill>
      <alignment horizontal="center" vertical="center" textRotation="0" wrapText="1" indent="0" justifyLastLine="0" shrinkToFit="0" readingOrder="0"/>
      <protection locked="0" hidden="0"/>
    </dxf>
    <dxf>
      <font>
        <strike val="0"/>
        <outline val="0"/>
        <shadow val="0"/>
        <vertAlign val="baseline"/>
        <sz val="8"/>
        <name val="Calibri"/>
        <scheme val="minor"/>
      </font>
      <alignment textRotation="0" wrapText="0" indent="0" justifyLastLine="0" shrinkToFit="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6"/>
        <color theme="1"/>
        <name val="Calibri"/>
        <family val="2"/>
        <scheme val="minor"/>
      </font>
      <numFmt numFmtId="34" formatCode="_-&quot;$&quot;\ * #,##0.00_-;\-&quot;$&quot;\ * #,##0.00_-;_-&quot;$&quot;\ * &quot;-&quot;??_-;_-@_-"/>
      <fill>
        <patternFill patternType="solid">
          <fgColor indexed="64"/>
          <bgColor rgb="FFFFFF00"/>
        </patternFill>
      </fill>
      <alignment horizontal="center" vertical="center" textRotation="0" wrapText="1" indent="0" justifyLastLine="0" shrinkToFit="0" readingOrder="0"/>
      <protection locked="0" hidden="0"/>
    </dxf>
    <dxf>
      <font>
        <strike val="0"/>
        <outline val="0"/>
        <shadow val="0"/>
        <vertAlign val="baseline"/>
        <sz val="8"/>
        <name val="Calibri"/>
        <scheme val="minor"/>
      </font>
      <numFmt numFmtId="13" formatCode="0%"/>
      <alignment textRotation="0" wrapText="0" indent="0" justifyLastLine="0" shrinkToFit="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6"/>
        <color theme="1"/>
        <name val="Calibri"/>
        <family val="2"/>
        <scheme val="minor"/>
      </font>
      <numFmt numFmtId="34" formatCode="_-&quot;$&quot;\ * #,##0.00_-;\-&quot;$&quot;\ * #,##0.00_-;_-&quot;$&quot;\ * &quot;-&quot;??_-;_-@_-"/>
      <fill>
        <patternFill patternType="solid">
          <fgColor indexed="64"/>
          <bgColor rgb="FFFFFF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auto="1"/>
        <name val="Calibri"/>
        <family val="2"/>
        <scheme val="minor"/>
      </font>
      <numFmt numFmtId="164" formatCode="_-[$$-409]* #,##0.00_ ;_-[$$-409]* \-#,##0.00\ ;_-[$$-409]* &quot;-&quot;??_ ;_-@_ "/>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6"/>
        <color theme="1"/>
        <name val="Calibri"/>
        <family val="2"/>
        <scheme val="minor"/>
      </font>
      <numFmt numFmtId="34" formatCode="_-&quot;$&quot;\ * #,##0.00_-;\-&quot;$&quot;\ * #,##0.00_-;_-&quot;$&quot;\ * &quot;-&quot;??_-;_-@_-"/>
      <fill>
        <patternFill patternType="solid">
          <fgColor indexed="64"/>
          <bgColor rgb="FFFFFF00"/>
        </patternFill>
      </fill>
      <alignment horizontal="center" vertical="center" textRotation="0" wrapText="1" indent="0" justifyLastLine="0" shrinkToFit="0" readingOrder="0"/>
      <protection locked="0" hidden="0"/>
    </dxf>
    <dxf>
      <font>
        <strike val="0"/>
        <outline val="0"/>
        <shadow val="0"/>
        <vertAlign val="baseline"/>
        <sz val="8"/>
        <name val="Calibri"/>
        <scheme val="minor"/>
      </font>
      <numFmt numFmtId="164" formatCode="_-[$$-409]* #,##0.00_ ;_-[$$-409]* \-#,##0.00\ ;_-[$$-409]* &quot;-&quot;??_ ;_-@_ "/>
      <alignment textRotation="0" wrapText="0" indent="0" justifyLastLine="0" shrinkToFit="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minor"/>
      </font>
      <numFmt numFmtId="14" formatCode="0.00%"/>
      <alignment horizontal="center" vertical="center" textRotation="0" wrapText="1" indent="0" justifyLastLine="0" shrinkToFit="0" readingOrder="0"/>
      <protection locked="0" hidden="0"/>
    </dxf>
    <dxf>
      <font>
        <b val="0"/>
        <i val="0"/>
        <strike val="0"/>
        <condense val="0"/>
        <extend val="0"/>
        <outline val="0"/>
        <shadow val="0"/>
        <u val="none"/>
        <vertAlign val="baseline"/>
        <sz val="8"/>
        <color theme="1"/>
        <name val="Calibri"/>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minor"/>
      </font>
      <numFmt numFmtId="14" formatCode="0.00%"/>
      <alignment horizontal="center" vertical="center" textRotation="0" wrapText="1" indent="0" justifyLastLine="0" shrinkToFit="0" readingOrder="0"/>
      <protection locked="0" hidden="0"/>
    </dxf>
    <dxf>
      <font>
        <strike val="0"/>
        <outline val="0"/>
        <shadow val="0"/>
        <vertAlign val="baseline"/>
        <sz val="8"/>
        <name val="Calibri"/>
        <scheme val="minor"/>
      </font>
      <alignment textRotation="0" wrapText="0" indent="0" justifyLastLine="0" shrinkToFit="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protection locked="0" hidden="0"/>
    </dxf>
    <dxf>
      <font>
        <strike val="0"/>
        <outline val="0"/>
        <shadow val="0"/>
        <vertAlign val="baseline"/>
        <sz val="8"/>
        <name val="Calibri"/>
        <scheme val="minor"/>
      </font>
      <alignment textRotation="0" wrapText="0" indent="0" justifyLastLine="0" shrinkToFit="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8"/>
        <color auto="1"/>
        <name val="Calibri"/>
        <scheme val="minor"/>
      </font>
      <numFmt numFmtId="20" formatCode="d\-mmm\-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strike val="0"/>
        <outline val="0"/>
        <shadow val="0"/>
        <vertAlign val="baseline"/>
        <sz val="8"/>
        <name val="Calibri"/>
        <scheme val="minor"/>
      </font>
      <alignment textRotation="0" wrapText="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strike val="0"/>
        <outline val="0"/>
        <shadow val="0"/>
        <vertAlign val="baseline"/>
        <sz val="8"/>
        <name val="Calibri"/>
        <scheme val="minor"/>
      </font>
      <alignment textRotation="0" wrapText="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8"/>
        <color auto="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strike val="0"/>
        <outline val="0"/>
        <shadow val="0"/>
        <vertAlign val="baseline"/>
        <sz val="8"/>
        <name val="Calibri"/>
        <scheme val="minor"/>
      </font>
      <alignment textRotation="0" wrapText="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strike val="0"/>
        <outline val="0"/>
        <shadow val="0"/>
        <vertAlign val="baseline"/>
        <sz val="8"/>
        <name val="Calibri"/>
        <scheme val="minor"/>
      </font>
      <numFmt numFmtId="19" formatCode="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numFmt numFmtId="1" formatCode="0"/>
      <fill>
        <patternFill patternType="solid">
          <fgColor theme="4" tint="0.79998168889431442"/>
          <bgColor theme="4" tint="0.79998168889431442"/>
        </patternFill>
      </fill>
      <alignment horizontal="center"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strike val="0"/>
        <outline val="0"/>
        <shadow val="0"/>
        <vertAlign val="baseline"/>
        <sz val="8"/>
        <name val="Calibri"/>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numFmt numFmtId="169" formatCode="dd/mm/yyyy"/>
      <alignment horizontal="center" vertical="center" textRotation="0" wrapText="1" indent="0" justifyLastLine="0" shrinkToFit="0" readingOrder="0"/>
    </dxf>
    <dxf>
      <font>
        <strike val="0"/>
        <outline val="0"/>
        <shadow val="0"/>
        <vertAlign val="baseline"/>
        <sz val="8"/>
        <name val="Calibri"/>
        <scheme val="minor"/>
      </font>
      <numFmt numFmtId="168" formatCode="d/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8"/>
        <color theme="1"/>
        <name val="Calibri"/>
        <scheme val="minor"/>
      </font>
      <numFmt numFmtId="16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strike val="0"/>
        <outline val="0"/>
        <shadow val="0"/>
        <vertAlign val="baseline"/>
        <sz val="8"/>
        <name val="Calibri"/>
        <scheme val="minor"/>
      </font>
      <alignment textRotation="0" wrapText="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fill>
        <patternFill patternType="solid">
          <fgColor theme="4" tint="0.79998168889431442"/>
          <bgColor theme="0"/>
        </patternFill>
      </fill>
      <alignment horizontal="center" vertical="center" textRotation="0" wrapText="1"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8"/>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Calibri"/>
        <family val="2"/>
        <scheme val="minor"/>
      </font>
      <fill>
        <patternFill patternType="solid">
          <fgColor theme="4" tint="0.79998168889431442"/>
          <bgColor theme="0"/>
        </patternFill>
      </fill>
      <alignment horizontal="center" vertical="center" textRotation="0" wrapText="1"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4"/>
        <color theme="1"/>
        <name val="Calibri"/>
        <family val="2"/>
        <scheme val="minor"/>
      </font>
      <fill>
        <patternFill patternType="solid">
          <fgColor theme="4" tint="0.79998168889431442"/>
          <bgColor theme="0"/>
        </patternFill>
      </fill>
      <alignment horizontal="center" vertical="center" textRotation="0" wrapText="1"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4"/>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top/>
        <bottom/>
      </border>
    </dxf>
    <dxf>
      <font>
        <b/>
        <i val="0"/>
        <strike val="0"/>
        <condense val="0"/>
        <extend val="0"/>
        <outline val="0"/>
        <shadow val="0"/>
        <u val="none"/>
        <vertAlign val="baseline"/>
        <sz val="8"/>
        <color theme="1"/>
        <name val="Calibri"/>
        <scheme val="minor"/>
      </font>
      <fill>
        <patternFill patternType="solid">
          <fgColor indexed="64"/>
          <bgColor theme="5" tint="-0.249977111117893"/>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8"/>
        <name val="Calibri"/>
        <scheme val="minor"/>
      </font>
      <alignment textRotation="0" wrapText="0" indent="0" justifyLastLine="0" shrinkToFit="0"/>
    </dxf>
    <dxf>
      <border>
        <bottom style="thin">
          <color indexed="64"/>
        </bottom>
      </border>
    </dxf>
    <dxf>
      <font>
        <strike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ill>
        <patternFill>
          <bgColor rgb="FFFFC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psco.sharepoint.com/sites/msteams_448317_209037/Documentos%20compartidos/General/10.%20Sistemas%20de%20Informaci&#243;n%20DIH/Avance%20F&#237;sico%20de%20Convenios%20y%20Proyectos/BaseUnicaDIH(Recuperado%20autom&#225;ticamen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UnicaDIH(Recuperado automát"/>
    </sheetNames>
    <sheetDataSet>
      <sheetData sheetId="0" refreshError="1"/>
    </sheetDataSet>
  </externalBook>
</externalLink>
</file>

<file path=xl/namedSheetViews/namedSheetView1.xml><?xml version="1.0" encoding="utf-8"?>
<namedSheetViews xmlns="http://schemas.microsoft.com/office/spreadsheetml/2019/namedsheetviews" xmlns:x="http://schemas.openxmlformats.org/spreadsheetml/2006/main">
  <namedSheetView name="Ver1" id="{B8B40F10-9C8E-48B4-859A-2358AACAF2C7}"/>
  <namedSheetView name="Ver2" id="{437DA14E-DD8D-4BEC-A552-16F77A23BD8B}"/>
  <namedSheetView name="Ver3" id="{2C9D2637-C99C-46AA-A34A-2621FE906D1D}"/>
  <namedSheetView name="Ver4" id="{F38D33BD-4AEB-42F0-ABAE-A8DC3B6087D1}"/>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4F3838-B107-4CE3-B520-B8CA764D400D}" name="PROYECTOS_DIH" displayName="PROYECTOS_DIH" ref="A1:AG371" totalsRowShown="0" headerRowDxfId="69" dataDxfId="67" headerRowBorderDxfId="68" tableBorderDxfId="66" totalsRowBorderDxfId="65">
  <autoFilter ref="A1:AG371" xr:uid="{754F3838-B107-4CE3-B520-B8CA764D400D}"/>
  <sortState xmlns:xlrd2="http://schemas.microsoft.com/office/spreadsheetml/2017/richdata2" ref="A2:AG371">
    <sortCondition ref="C1:C371"/>
  </sortState>
  <tableColumns count="33">
    <tableColumn id="13" xr3:uid="{E5708009-3188-4A91-9FDF-FBE5DB650996}" name="GRUPO" dataDxfId="64"/>
    <tableColumn id="1" xr3:uid="{940B5A26-67C9-439F-AF24-AA1D34FB5980}" name="Número" dataDxfId="2" totalsRowDxfId="63"/>
    <tableColumn id="16" xr3:uid="{9A70A7D8-E0B7-403A-A44A-08560A76B600}" name="ID DEL PROYECTO" dataDxfId="0" totalsRowDxfId="62"/>
    <tableColumn id="40" xr3:uid="{FA2B213F-CA23-4E64-9017-BEE8D8430D29}" name="VIGENCIA PROYECTO" dataDxfId="1" totalsRowDxfId="61"/>
    <tableColumn id="43" xr3:uid="{E2F15D63-E259-4736-9992-FE05A5EFC179}" name="SUPERVISOR" dataDxfId="60" totalsRowDxfId="59"/>
    <tableColumn id="2" xr3:uid="{5D274CDA-03A1-43B5-9F6B-F16059135731}" name="Número de Convenio." dataDxfId="58" totalsRowDxfId="57"/>
    <tableColumn id="46" xr3:uid="{2A558BAD-F456-4030-80FB-0B6A7795DCB9}" name="FECHA INICIO CONVENIO" dataDxfId="56" totalsRowDxfId="55"/>
    <tableColumn id="22" xr3:uid="{8A08645C-9B5D-455C-B82D-35B16FC0C974}" name="FECHA TERMINACIÓN CONVENIO" dataDxfId="54" totalsRowDxfId="53"/>
    <tableColumn id="6" xr3:uid="{DC042210-0EE6-410A-8EB1-B1D80617BCE9}" name="Departamento." dataDxfId="52" totalsRowDxfId="51"/>
    <tableColumn id="45" xr3:uid="{B135C2ED-6B24-461B-9C40-73854C32D80C}" name="Divipola" dataDxfId="50" totalsRowDxfId="49"/>
    <tableColumn id="7" xr3:uid="{25EB5DD5-46E4-441B-8C6B-E9D2C17FAAA9}" name="Municipio." dataDxfId="48" totalsRowDxfId="47"/>
    <tableColumn id="3" xr3:uid="{64E347B3-7359-4CDD-BD05-76B4149CC431}" name="Sector " dataDxfId="46" totalsRowDxfId="45"/>
    <tableColumn id="4" xr3:uid="{95B75F17-C0A2-4D7C-BE9D-ABD5BCD8FA86}" name="Tipología " dataDxfId="44" totalsRowDxfId="43"/>
    <tableColumn id="5" xr3:uid="{D36BE9AD-9CA8-43F0-A444-4AA2BAB7C110}" name="NOMBRE PROYECTO" dataDxfId="42" totalsRowDxfId="41"/>
    <tableColumn id="8" xr3:uid="{8732435B-62D6-44EF-AE4B-3DC4FAE97BC0}" name="Estado Convenio" dataDxfId="40" totalsRowDxfId="39"/>
    <tableColumn id="26" xr3:uid="{0D8761A9-6C96-42C5-963A-32D7EEB1F9D2}" name="Estado Contrato Obra" dataDxfId="38" totalsRowDxfId="37"/>
    <tableColumn id="21" xr3:uid="{7D1C373B-B48E-4EE2-9FEF-72D36327801D}" name="Ejecución Fisica Estandar " dataDxfId="36" totalsRowDxfId="35"/>
    <tableColumn id="9" xr3:uid="{8EE17914-A758-42DD-B9D2-A5E77A1F944D}" name="Sub Estado Ejecución" dataDxfId="34" totalsRowDxfId="33"/>
    <tableColumn id="10" xr3:uid="{00939D20-F356-4309-94F4-D5A9758419E8}" name="Ejecución Fisica" dataDxfId="32" totalsRowDxfId="31"/>
    <tableColumn id="51" xr3:uid="{76F92D1A-0933-4292-B254-5DC5814AAE98}" name="Ejecución Programada" dataDxfId="30" totalsRowDxfId="29"/>
    <tableColumn id="11" xr3:uid="{B15B9DE2-3971-4889-ACBB-F2BCC05E5D5D}" name="Valor Proyecto Inicial." dataDxfId="28" totalsRowDxfId="27"/>
    <tableColumn id="50" xr3:uid="{0DF13C4F-CE09-49FE-B599-9D7A9FEFBFD9}" name="Valor Proyecto Final" dataDxfId="26" totalsRowDxfId="25"/>
    <tableColumn id="14" xr3:uid="{63400B9C-192C-4932-A359-3B51661CFDE6}" name="Ejecución Financiera" dataDxfId="24" totalsRowDxfId="23">
      <calculatedColumnFormula>PROYECTOS_DIH[[#This Row],[VALOR DESEMBOLSOS PROYECTO]]/PROYECTOS_DIH[[#This Row],[Valor Proyecto Inicial.]]</calculatedColumnFormula>
    </tableColumn>
    <tableColumn id="17" xr3:uid="{76FB5ADA-F4D8-42BD-9B39-8F3B62DCEFFB}" name="VALOR DESEMBOLSOS PROYECTO" dataDxfId="22" totalsRowDxfId="21"/>
    <tableColumn id="41" xr3:uid="{55A584D9-5236-436E-99E4-F773033CDE24}" name="INTERVENTORIA" dataDxfId="20" totalsRowDxfId="19"/>
    <tableColumn id="12" xr3:uid="{CE0F4473-FE00-40D3-973A-3C15C076D2F3}" name="Beneficiarios" dataDxfId="18" totalsRowDxfId="17"/>
    <tableColumn id="23" xr3:uid="{3C0A6841-AD3C-495E-BA0A-7EE45AB3ADE1}" name="ALERTA TECNICA - CUELLOS DE BOTELLA - ACCIONES CORRECTIVAS" dataDxfId="16" totalsRowDxfId="15"/>
    <tableColumn id="47" xr3:uid="{EE22BBC7-AC50-4BF6-BA1F-0088F69C86B0}" name="RUTA" dataDxfId="14" totalsRowDxfId="13"/>
    <tableColumn id="49" xr3:uid="{77019092-D2C2-4861-A63C-D102556AA003}" name="PDET-ZOMAC" dataDxfId="12" totalsRowDxfId="11"/>
    <tableColumn id="19" xr3:uid="{6C929D4A-7D64-4CB2-A536-0421EB553C25}" name="Latitud" dataDxfId="10" totalsRowDxfId="9"/>
    <tableColumn id="20" xr3:uid="{D05BA957-AFC6-4F83-94D7-17DBBE15486F}" name="Longitud" dataDxfId="8" totalsRowDxfId="7"/>
    <tableColumn id="32" xr3:uid="{C0B510F3-A04A-4558-88CD-96B9A31EFB72}" name="GERENCIA REGIONAL" dataDxfId="6" totalsRowDxfId="5"/>
    <tableColumn id="34" xr3:uid="{F17E872B-0DF9-4892-8874-9BC72F241F7E}" name="MACROREGIÓN" dataDxfId="4" totalsRowDxfId="3"/>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ADA4F-C617-4BAC-BF53-07AB8F71AB72}">
  <sheetPr>
    <tabColor rgb="FF00FF00"/>
    <pageSetUpPr fitToPage="1"/>
  </sheetPr>
  <dimension ref="A1:AJ405"/>
  <sheetViews>
    <sheetView tabSelected="1" zoomScaleNormal="100" workbookViewId="0">
      <selection activeCell="E363" sqref="E363"/>
    </sheetView>
  </sheetViews>
  <sheetFormatPr baseColWidth="10" defaultColWidth="22.44140625" defaultRowHeight="11.4" customHeight="1" x14ac:dyDescent="0.2"/>
  <cols>
    <col min="1" max="1" width="22.44140625" style="42"/>
    <col min="2" max="2" width="22.44140625" style="161"/>
    <col min="3" max="3" width="8.44140625" style="161" customWidth="1"/>
    <col min="4" max="4" width="12.6640625" style="42" customWidth="1"/>
    <col min="5" max="5" width="22.44140625" style="42"/>
    <col min="6" max="7" width="22.44140625" style="163"/>
    <col min="8" max="8" width="22.44140625" style="161"/>
    <col min="9" max="14" width="22.44140625" style="42"/>
    <col min="15" max="16" width="22.44140625" style="61"/>
    <col min="17" max="20" width="22.44140625" style="42"/>
    <col min="21" max="22" width="22.44140625" style="164"/>
    <col min="23" max="23" width="22.44140625" style="165"/>
    <col min="24" max="26" width="22.44140625" style="166"/>
    <col min="27" max="27" width="22.44140625" style="167"/>
    <col min="28" max="29" width="22.44140625" style="168"/>
    <col min="30" max="31" width="22.44140625" style="162"/>
    <col min="32" max="32" width="22.44140625" style="42"/>
    <col min="33" max="16384" width="22.44140625" style="61"/>
  </cols>
  <sheetData>
    <row r="1" spans="1:33" s="42" customFormat="1" ht="11.4" customHeight="1" x14ac:dyDescent="0.3">
      <c r="A1" s="33" t="s">
        <v>0</v>
      </c>
      <c r="B1" s="34" t="s">
        <v>1</v>
      </c>
      <c r="C1" s="35" t="s">
        <v>2</v>
      </c>
      <c r="D1" s="35" t="s">
        <v>3</v>
      </c>
      <c r="E1" s="35" t="s">
        <v>4</v>
      </c>
      <c r="F1" s="36" t="s">
        <v>5</v>
      </c>
      <c r="G1" s="37" t="s">
        <v>6</v>
      </c>
      <c r="H1" s="37" t="s">
        <v>7</v>
      </c>
      <c r="I1" s="36" t="s">
        <v>8</v>
      </c>
      <c r="J1" s="36" t="s">
        <v>9</v>
      </c>
      <c r="K1" s="36" t="s">
        <v>10</v>
      </c>
      <c r="L1" s="36" t="s">
        <v>11</v>
      </c>
      <c r="M1" s="36" t="s">
        <v>12</v>
      </c>
      <c r="N1" s="34" t="s">
        <v>13</v>
      </c>
      <c r="O1" s="34" t="s">
        <v>14</v>
      </c>
      <c r="P1" s="34" t="s">
        <v>15</v>
      </c>
      <c r="Q1" s="34" t="s">
        <v>16</v>
      </c>
      <c r="R1" s="38" t="s">
        <v>17</v>
      </c>
      <c r="S1" s="38" t="s">
        <v>18</v>
      </c>
      <c r="T1" s="38" t="s">
        <v>19</v>
      </c>
      <c r="U1" s="39" t="s">
        <v>20</v>
      </c>
      <c r="V1" s="39" t="s">
        <v>21</v>
      </c>
      <c r="W1" s="38" t="s">
        <v>22</v>
      </c>
      <c r="X1" s="35" t="s">
        <v>23</v>
      </c>
      <c r="Y1" s="35" t="s">
        <v>24</v>
      </c>
      <c r="Z1" s="38" t="s">
        <v>25</v>
      </c>
      <c r="AA1" s="40" t="s">
        <v>27</v>
      </c>
      <c r="AB1" s="41" t="s">
        <v>28</v>
      </c>
      <c r="AC1" s="41" t="s">
        <v>29</v>
      </c>
      <c r="AD1" s="35" t="s">
        <v>30</v>
      </c>
      <c r="AE1" s="35" t="s">
        <v>31</v>
      </c>
      <c r="AF1" s="35" t="s">
        <v>32</v>
      </c>
      <c r="AG1" s="35" t="s">
        <v>33</v>
      </c>
    </row>
    <row r="2" spans="1:33" ht="11.4" customHeight="1" x14ac:dyDescent="0.2">
      <c r="A2" s="7" t="s">
        <v>114</v>
      </c>
      <c r="B2" s="43">
        <v>368</v>
      </c>
      <c r="C2" s="191">
        <v>1</v>
      </c>
      <c r="D2" s="44">
        <v>2026</v>
      </c>
      <c r="E2" s="44" t="s">
        <v>86</v>
      </c>
      <c r="F2" s="45" t="s">
        <v>1109</v>
      </c>
      <c r="G2" s="46">
        <v>46240</v>
      </c>
      <c r="H2" s="160">
        <v>46970</v>
      </c>
      <c r="I2" s="151" t="s">
        <v>88</v>
      </c>
      <c r="J2" s="48">
        <v>52001</v>
      </c>
      <c r="K2" s="73" t="s">
        <v>136</v>
      </c>
      <c r="L2" s="45" t="s">
        <v>39</v>
      </c>
      <c r="M2" s="62" t="s">
        <v>1110</v>
      </c>
      <c r="N2" s="8" t="s">
        <v>1111</v>
      </c>
      <c r="O2" s="49" t="s">
        <v>119</v>
      </c>
      <c r="P2" s="49"/>
      <c r="Q2" s="152" t="s">
        <v>120</v>
      </c>
      <c r="R2" s="95" t="s">
        <v>121</v>
      </c>
      <c r="S2" s="58">
        <v>0</v>
      </c>
      <c r="T2" s="58"/>
      <c r="U2" s="52">
        <v>0</v>
      </c>
      <c r="V2" s="52"/>
      <c r="W2" s="79" t="e">
        <f>PROYECTOS_DIH[[#This Row],[VALOR DESEMBOLSOS PROYECTO]]/PROYECTOS_DIH[[#This Row],[Valor Proyecto Inicial.]]</f>
        <v>#DIV/0!</v>
      </c>
      <c r="X2" s="54"/>
      <c r="Y2" s="54" t="s">
        <v>1180</v>
      </c>
      <c r="Z2" s="55"/>
      <c r="AA2" s="80"/>
      <c r="AB2" s="5" t="s">
        <v>1145</v>
      </c>
      <c r="AC2" s="56"/>
      <c r="AD2" s="59">
        <v>1.212124365</v>
      </c>
      <c r="AE2" s="59">
        <v>-77.278576349999994</v>
      </c>
      <c r="AF2" s="5" t="s">
        <v>91</v>
      </c>
      <c r="AG2" s="77" t="s">
        <v>75</v>
      </c>
    </row>
    <row r="3" spans="1:33" s="72" customFormat="1" ht="11.4" customHeight="1" x14ac:dyDescent="0.2">
      <c r="A3" s="1" t="s">
        <v>34</v>
      </c>
      <c r="B3" s="43">
        <v>362</v>
      </c>
      <c r="C3" s="192">
        <v>2</v>
      </c>
      <c r="D3" s="19">
        <v>2026</v>
      </c>
      <c r="E3" s="44" t="s">
        <v>35</v>
      </c>
      <c r="F3" s="45" t="s">
        <v>36</v>
      </c>
      <c r="G3" s="46">
        <v>45653</v>
      </c>
      <c r="H3" s="46">
        <v>46441</v>
      </c>
      <c r="I3" s="112" t="s">
        <v>37</v>
      </c>
      <c r="J3" s="48">
        <v>27077</v>
      </c>
      <c r="K3" s="112" t="s">
        <v>583</v>
      </c>
      <c r="L3" s="112" t="s">
        <v>55</v>
      </c>
      <c r="M3" s="112" t="s">
        <v>332</v>
      </c>
      <c r="N3" s="112" t="s">
        <v>1099</v>
      </c>
      <c r="O3" s="45" t="s">
        <v>42</v>
      </c>
      <c r="P3" s="49"/>
      <c r="Q3" s="45" t="s">
        <v>44</v>
      </c>
      <c r="R3" s="125" t="s">
        <v>214</v>
      </c>
      <c r="S3" s="51">
        <v>0</v>
      </c>
      <c r="T3" s="51"/>
      <c r="U3" s="113">
        <v>1074756370.6600001</v>
      </c>
      <c r="V3" s="113"/>
      <c r="W3" s="79">
        <f>PROYECTOS_DIH[[#This Row],[VALOR DESEMBOLSOS PROYECTO]]/PROYECTOS_DIH[[#This Row],[Valor Proyecto Inicial.]]</f>
        <v>0</v>
      </c>
      <c r="X3" s="54"/>
      <c r="Y3" s="54" t="s">
        <v>1180</v>
      </c>
      <c r="Z3" s="55"/>
      <c r="AA3" s="57" t="s">
        <v>215</v>
      </c>
      <c r="AB3" s="5" t="s">
        <v>1153</v>
      </c>
      <c r="AC3" s="56" t="s">
        <v>96</v>
      </c>
      <c r="AD3" s="59">
        <v>4.9546266719999998</v>
      </c>
      <c r="AE3" s="59">
        <v>-77.365409990000003</v>
      </c>
      <c r="AF3" s="5" t="s">
        <v>330</v>
      </c>
      <c r="AG3" s="77" t="s">
        <v>75</v>
      </c>
    </row>
    <row r="4" spans="1:33" s="72" customFormat="1" ht="11.4" customHeight="1" x14ac:dyDescent="0.2">
      <c r="A4" s="1" t="s">
        <v>34</v>
      </c>
      <c r="B4" s="43">
        <v>363</v>
      </c>
      <c r="C4" s="192">
        <v>3</v>
      </c>
      <c r="D4" s="19">
        <v>2026</v>
      </c>
      <c r="E4" s="44" t="s">
        <v>35</v>
      </c>
      <c r="F4" s="45" t="s">
        <v>36</v>
      </c>
      <c r="G4" s="46">
        <v>45653</v>
      </c>
      <c r="H4" s="46">
        <v>46441</v>
      </c>
      <c r="I4" s="112" t="s">
        <v>88</v>
      </c>
      <c r="J4" s="48">
        <v>52835</v>
      </c>
      <c r="K4" s="112" t="s">
        <v>422</v>
      </c>
      <c r="L4" s="112" t="s">
        <v>70</v>
      </c>
      <c r="M4" s="112" t="s">
        <v>423</v>
      </c>
      <c r="N4" s="112" t="s">
        <v>1100</v>
      </c>
      <c r="O4" s="45" t="s">
        <v>42</v>
      </c>
      <c r="P4" s="49"/>
      <c r="Q4" s="2" t="s">
        <v>44</v>
      </c>
      <c r="R4" s="2" t="s">
        <v>121</v>
      </c>
      <c r="S4" s="51">
        <v>0</v>
      </c>
      <c r="T4" s="51"/>
      <c r="U4" s="113">
        <v>1137787360.8</v>
      </c>
      <c r="V4" s="113"/>
      <c r="W4" s="79">
        <f>PROYECTOS_DIH[[#This Row],[VALOR DESEMBOLSOS PROYECTO]]/PROYECTOS_DIH[[#This Row],[Valor Proyecto Inicial.]]</f>
        <v>0</v>
      </c>
      <c r="X4" s="54">
        <v>0</v>
      </c>
      <c r="Y4" s="54" t="s">
        <v>1180</v>
      </c>
      <c r="Z4" s="55"/>
      <c r="AA4" s="57" t="s">
        <v>215</v>
      </c>
      <c r="AB4" s="5" t="s">
        <v>1145</v>
      </c>
      <c r="AC4" s="56" t="s">
        <v>47</v>
      </c>
      <c r="AD4" s="59">
        <v>1.8071172499999999</v>
      </c>
      <c r="AE4" s="59">
        <v>-78.76385415</v>
      </c>
      <c r="AF4" s="5" t="s">
        <v>91</v>
      </c>
      <c r="AG4" s="77" t="s">
        <v>75</v>
      </c>
    </row>
    <row r="5" spans="1:33" s="72" customFormat="1" ht="11.4" customHeight="1" x14ac:dyDescent="0.2">
      <c r="A5" s="1" t="s">
        <v>34</v>
      </c>
      <c r="B5" s="43">
        <v>364</v>
      </c>
      <c r="C5" s="191">
        <v>4</v>
      </c>
      <c r="D5" s="44">
        <v>2026</v>
      </c>
      <c r="E5" s="44" t="s">
        <v>35</v>
      </c>
      <c r="F5" s="45" t="s">
        <v>36</v>
      </c>
      <c r="G5" s="46">
        <v>45653</v>
      </c>
      <c r="H5" s="46">
        <v>46441</v>
      </c>
      <c r="I5" s="151" t="s">
        <v>176</v>
      </c>
      <c r="J5" s="48">
        <v>54001</v>
      </c>
      <c r="K5" s="73" t="s">
        <v>621</v>
      </c>
      <c r="L5" s="45" t="s">
        <v>70</v>
      </c>
      <c r="M5" s="62" t="s">
        <v>71</v>
      </c>
      <c r="N5" s="8" t="s">
        <v>1101</v>
      </c>
      <c r="O5" s="49" t="s">
        <v>42</v>
      </c>
      <c r="P5" s="49"/>
      <c r="Q5" s="152" t="s">
        <v>44</v>
      </c>
      <c r="R5" s="50" t="s">
        <v>214</v>
      </c>
      <c r="S5" s="58">
        <v>0</v>
      </c>
      <c r="T5" s="58"/>
      <c r="U5" s="52">
        <v>2000000000</v>
      </c>
      <c r="V5" s="52"/>
      <c r="W5" s="79">
        <f>PROYECTOS_DIH[[#This Row],[VALOR DESEMBOLSOS PROYECTO]]/PROYECTOS_DIH[[#This Row],[Valor Proyecto Inicial.]]</f>
        <v>0</v>
      </c>
      <c r="X5" s="54">
        <v>0</v>
      </c>
      <c r="Y5" s="54" t="s">
        <v>1180</v>
      </c>
      <c r="Z5" s="55"/>
      <c r="AA5" s="80" t="s">
        <v>1102</v>
      </c>
      <c r="AB5" s="5" t="s">
        <v>1136</v>
      </c>
      <c r="AC5" s="56"/>
      <c r="AD5" s="59">
        <v>7.9053062949999999</v>
      </c>
      <c r="AE5" s="59">
        <v>-72.508256200000005</v>
      </c>
      <c r="AF5" s="5" t="s">
        <v>180</v>
      </c>
      <c r="AG5" s="93" t="s">
        <v>110</v>
      </c>
    </row>
    <row r="6" spans="1:33" s="72" customFormat="1" ht="11.4" customHeight="1" x14ac:dyDescent="0.2">
      <c r="A6" s="1" t="s">
        <v>34</v>
      </c>
      <c r="B6" s="43">
        <v>365</v>
      </c>
      <c r="C6" s="191">
        <v>5</v>
      </c>
      <c r="D6" s="44">
        <v>2026</v>
      </c>
      <c r="E6" s="44" t="s">
        <v>35</v>
      </c>
      <c r="F6" s="45" t="s">
        <v>36</v>
      </c>
      <c r="G6" s="46">
        <v>45653</v>
      </c>
      <c r="H6" s="46">
        <v>46441</v>
      </c>
      <c r="I6" s="151" t="s">
        <v>166</v>
      </c>
      <c r="J6" s="48">
        <v>41396</v>
      </c>
      <c r="K6" s="4" t="s">
        <v>1103</v>
      </c>
      <c r="L6" s="45" t="s">
        <v>39</v>
      </c>
      <c r="M6" s="62" t="s">
        <v>941</v>
      </c>
      <c r="N6" s="4" t="s">
        <v>1104</v>
      </c>
      <c r="O6" s="49" t="s">
        <v>42</v>
      </c>
      <c r="P6" s="49"/>
      <c r="Q6" s="152" t="s">
        <v>44</v>
      </c>
      <c r="R6" s="50" t="s">
        <v>214</v>
      </c>
      <c r="S6" s="58">
        <v>0</v>
      </c>
      <c r="T6" s="58"/>
      <c r="U6" s="52">
        <v>4452625412.1199999</v>
      </c>
      <c r="V6" s="52"/>
      <c r="W6" s="79">
        <f>PROYECTOS_DIH[[#This Row],[VALOR DESEMBOLSOS PROYECTO]]/PROYECTOS_DIH[[#This Row],[Valor Proyecto Inicial.]]</f>
        <v>0</v>
      </c>
      <c r="X6" s="54">
        <v>0</v>
      </c>
      <c r="Y6" s="54" t="s">
        <v>1180</v>
      </c>
      <c r="Z6" s="55"/>
      <c r="AA6" s="80"/>
      <c r="AB6" s="5" t="s">
        <v>1155</v>
      </c>
      <c r="AC6" s="56"/>
      <c r="AD6" s="59">
        <v>2.3896466940000001</v>
      </c>
      <c r="AE6" s="59">
        <v>-75.891451309999994</v>
      </c>
      <c r="AF6" s="5" t="s">
        <v>172</v>
      </c>
      <c r="AG6" s="81" t="s">
        <v>80</v>
      </c>
    </row>
    <row r="7" spans="1:33" s="72" customFormat="1" ht="11.4" customHeight="1" x14ac:dyDescent="0.2">
      <c r="A7" s="1" t="s">
        <v>34</v>
      </c>
      <c r="B7" s="43">
        <v>366</v>
      </c>
      <c r="C7" s="191">
        <v>6</v>
      </c>
      <c r="D7" s="44">
        <v>2026</v>
      </c>
      <c r="E7" s="44" t="s">
        <v>35</v>
      </c>
      <c r="F7" s="45" t="s">
        <v>36</v>
      </c>
      <c r="G7" s="46">
        <v>45653</v>
      </c>
      <c r="H7" s="46">
        <v>46441</v>
      </c>
      <c r="I7" s="151" t="s">
        <v>141</v>
      </c>
      <c r="J7" s="48">
        <v>23090</v>
      </c>
      <c r="K7" s="73" t="s">
        <v>1105</v>
      </c>
      <c r="L7" s="45" t="s">
        <v>39</v>
      </c>
      <c r="M7" s="62" t="s">
        <v>941</v>
      </c>
      <c r="N7" s="8" t="s">
        <v>1106</v>
      </c>
      <c r="O7" s="49" t="s">
        <v>42</v>
      </c>
      <c r="P7" s="49"/>
      <c r="Q7" s="152" t="s">
        <v>44</v>
      </c>
      <c r="R7" s="50" t="s">
        <v>214</v>
      </c>
      <c r="S7" s="58">
        <v>0</v>
      </c>
      <c r="T7" s="58"/>
      <c r="U7" s="52">
        <v>500000000</v>
      </c>
      <c r="V7" s="52"/>
      <c r="W7" s="79">
        <f>PROYECTOS_DIH[[#This Row],[VALOR DESEMBOLSOS PROYECTO]]/PROYECTOS_DIH[[#This Row],[Valor Proyecto Inicial.]]</f>
        <v>0</v>
      </c>
      <c r="X7" s="54">
        <v>0</v>
      </c>
      <c r="Y7" s="54" t="s">
        <v>1180</v>
      </c>
      <c r="Z7" s="55"/>
      <c r="AA7" s="80"/>
      <c r="AB7" s="5" t="s">
        <v>1142</v>
      </c>
      <c r="AC7" s="56"/>
      <c r="AD7" s="59">
        <v>8.7869445230000007</v>
      </c>
      <c r="AE7" s="59">
        <v>-76.241396519999995</v>
      </c>
      <c r="AF7" s="5" t="s">
        <v>145</v>
      </c>
      <c r="AG7" s="71" t="s">
        <v>64</v>
      </c>
    </row>
    <row r="8" spans="1:33" s="72" customFormat="1" ht="11.4" customHeight="1" x14ac:dyDescent="0.2">
      <c r="A8" s="1" t="s">
        <v>34</v>
      </c>
      <c r="B8" s="43">
        <v>367</v>
      </c>
      <c r="C8" s="191">
        <v>7</v>
      </c>
      <c r="D8" s="44">
        <v>2026</v>
      </c>
      <c r="E8" s="44" t="s">
        <v>35</v>
      </c>
      <c r="F8" s="45" t="s">
        <v>36</v>
      </c>
      <c r="G8" s="46">
        <v>45653</v>
      </c>
      <c r="H8" s="46">
        <v>46441</v>
      </c>
      <c r="I8" s="151" t="s">
        <v>37</v>
      </c>
      <c r="J8" s="48">
        <v>27001</v>
      </c>
      <c r="K8" s="73" t="s">
        <v>1107</v>
      </c>
      <c r="L8" s="45" t="s">
        <v>39</v>
      </c>
      <c r="M8" s="62" t="s">
        <v>941</v>
      </c>
      <c r="N8" s="8" t="s">
        <v>1108</v>
      </c>
      <c r="O8" s="49" t="s">
        <v>42</v>
      </c>
      <c r="P8" s="49"/>
      <c r="Q8" s="152" t="s">
        <v>44</v>
      </c>
      <c r="R8" s="50" t="s">
        <v>214</v>
      </c>
      <c r="S8" s="58">
        <v>0</v>
      </c>
      <c r="T8" s="58"/>
      <c r="U8" s="52">
        <v>297500000</v>
      </c>
      <c r="V8" s="52"/>
      <c r="W8" s="79">
        <f>PROYECTOS_DIH[[#This Row],[VALOR DESEMBOLSOS PROYECTO]]/PROYECTOS_DIH[[#This Row],[Valor Proyecto Inicial.]]</f>
        <v>0</v>
      </c>
      <c r="X8" s="54">
        <v>0</v>
      </c>
      <c r="Y8" s="54" t="s">
        <v>1180</v>
      </c>
      <c r="Z8" s="55"/>
      <c r="AA8" s="80"/>
      <c r="AB8" s="106" t="s">
        <v>1153</v>
      </c>
      <c r="AC8" s="56"/>
      <c r="AD8" s="59">
        <v>5.6921951870000003</v>
      </c>
      <c r="AE8" s="59">
        <v>-76.625969359999999</v>
      </c>
      <c r="AF8" s="106" t="s">
        <v>330</v>
      </c>
      <c r="AG8" s="77" t="s">
        <v>75</v>
      </c>
    </row>
    <row r="9" spans="1:33" s="42" customFormat="1" ht="11.4" customHeight="1" x14ac:dyDescent="0.2">
      <c r="A9" s="1" t="s">
        <v>34</v>
      </c>
      <c r="B9" s="43">
        <v>370</v>
      </c>
      <c r="C9" s="191">
        <v>8</v>
      </c>
      <c r="D9" s="44">
        <v>2026</v>
      </c>
      <c r="E9" s="44" t="s">
        <v>35</v>
      </c>
      <c r="F9" s="45" t="s">
        <v>36</v>
      </c>
      <c r="G9" s="46">
        <v>45653</v>
      </c>
      <c r="H9" s="46">
        <v>46441</v>
      </c>
      <c r="I9" s="151" t="s">
        <v>194</v>
      </c>
      <c r="J9" s="78">
        <v>17541</v>
      </c>
      <c r="K9" s="73" t="s">
        <v>1114</v>
      </c>
      <c r="L9" s="45" t="s">
        <v>39</v>
      </c>
      <c r="M9" s="62" t="s">
        <v>941</v>
      </c>
      <c r="N9" s="106" t="s">
        <v>1115</v>
      </c>
      <c r="O9" s="49" t="s">
        <v>42</v>
      </c>
      <c r="P9" s="49"/>
      <c r="Q9" s="152" t="s">
        <v>44</v>
      </c>
      <c r="R9" s="50" t="s">
        <v>214</v>
      </c>
      <c r="S9" s="58">
        <v>0</v>
      </c>
      <c r="T9" s="58"/>
      <c r="U9" s="52">
        <v>2347591024.9000001</v>
      </c>
      <c r="V9" s="52"/>
      <c r="W9" s="79">
        <f>PROYECTOS_DIH[[#This Row],[VALOR DESEMBOLSOS PROYECTO]]/PROYECTOS_DIH[[#This Row],[Valor Proyecto Inicial.]]</f>
        <v>0</v>
      </c>
      <c r="X9" s="54">
        <v>0</v>
      </c>
      <c r="Y9" s="54" t="s">
        <v>1180</v>
      </c>
      <c r="Z9" s="86">
        <v>10000</v>
      </c>
      <c r="AA9" s="80"/>
      <c r="AB9" s="5" t="s">
        <v>1156</v>
      </c>
      <c r="AC9" s="56" t="s">
        <v>96</v>
      </c>
      <c r="AD9" s="59">
        <v>5.3832805940000004</v>
      </c>
      <c r="AE9" s="59">
        <v>-75.160298519999998</v>
      </c>
      <c r="AF9" s="5" t="s">
        <v>198</v>
      </c>
      <c r="AG9" s="60" t="s">
        <v>49</v>
      </c>
    </row>
    <row r="10" spans="1:33" s="42" customFormat="1" ht="11.4" customHeight="1" x14ac:dyDescent="0.3">
      <c r="A10" s="1" t="s">
        <v>34</v>
      </c>
      <c r="B10" s="43">
        <v>1</v>
      </c>
      <c r="C10" s="193">
        <v>9</v>
      </c>
      <c r="D10" s="19">
        <v>2024</v>
      </c>
      <c r="E10" s="44" t="s">
        <v>35</v>
      </c>
      <c r="F10" s="45" t="s">
        <v>36</v>
      </c>
      <c r="G10" s="46">
        <v>45653</v>
      </c>
      <c r="H10" s="46">
        <v>46441</v>
      </c>
      <c r="I10" s="47" t="s">
        <v>37</v>
      </c>
      <c r="J10" s="48">
        <v>27006</v>
      </c>
      <c r="K10" s="4" t="s">
        <v>38</v>
      </c>
      <c r="L10" s="45" t="s">
        <v>39</v>
      </c>
      <c r="M10" s="4" t="s">
        <v>40</v>
      </c>
      <c r="N10" s="4" t="s">
        <v>41</v>
      </c>
      <c r="O10" s="49" t="s">
        <v>42</v>
      </c>
      <c r="P10" s="49" t="s">
        <v>43</v>
      </c>
      <c r="Q10" s="49" t="s">
        <v>44</v>
      </c>
      <c r="R10" s="50" t="s">
        <v>45</v>
      </c>
      <c r="S10" s="51">
        <v>0</v>
      </c>
      <c r="T10" s="51"/>
      <c r="U10" s="52">
        <v>5423543217</v>
      </c>
      <c r="V10" s="52"/>
      <c r="W10" s="53">
        <f>PROYECTOS_DIH[[#This Row],[VALOR DESEMBOLSOS PROYECTO]]/PROYECTOS_DIH[[#This Row],[Valor Proyecto Inicial.]]</f>
        <v>0</v>
      </c>
      <c r="X10" s="54">
        <v>0</v>
      </c>
      <c r="Y10" s="54" t="s">
        <v>1180</v>
      </c>
      <c r="Z10" s="55">
        <v>16000</v>
      </c>
      <c r="AA10" s="57" t="s">
        <v>46</v>
      </c>
      <c r="AB10" s="5" t="s">
        <v>1141</v>
      </c>
      <c r="AC10" s="56" t="s">
        <v>47</v>
      </c>
      <c r="AD10" s="59">
        <v>8.5114059520000005</v>
      </c>
      <c r="AE10" s="59">
        <v>-77.28009788</v>
      </c>
      <c r="AF10" s="5" t="s">
        <v>48</v>
      </c>
      <c r="AG10" s="60" t="s">
        <v>49</v>
      </c>
    </row>
    <row r="11" spans="1:33" s="42" customFormat="1" ht="11.4" customHeight="1" x14ac:dyDescent="0.3">
      <c r="A11" s="3" t="s">
        <v>50</v>
      </c>
      <c r="B11" s="43">
        <v>2</v>
      </c>
      <c r="C11" s="94">
        <v>2519</v>
      </c>
      <c r="D11" s="44">
        <v>2015</v>
      </c>
      <c r="E11" s="44" t="s">
        <v>51</v>
      </c>
      <c r="F11" s="4" t="s">
        <v>52</v>
      </c>
      <c r="G11" s="62">
        <v>42177</v>
      </c>
      <c r="H11" s="62">
        <v>46022</v>
      </c>
      <c r="I11" s="4" t="s">
        <v>53</v>
      </c>
      <c r="J11" s="63">
        <v>8372</v>
      </c>
      <c r="K11" s="4" t="s">
        <v>54</v>
      </c>
      <c r="L11" s="45" t="s">
        <v>55</v>
      </c>
      <c r="M11" s="4" t="s">
        <v>56</v>
      </c>
      <c r="N11" s="64" t="s">
        <v>56</v>
      </c>
      <c r="O11" s="49" t="s">
        <v>57</v>
      </c>
      <c r="P11" s="49" t="s">
        <v>58</v>
      </c>
      <c r="Q11" s="65" t="s">
        <v>59</v>
      </c>
      <c r="R11" s="66" t="s">
        <v>60</v>
      </c>
      <c r="S11" s="67">
        <v>0.91259999999999997</v>
      </c>
      <c r="T11" s="67"/>
      <c r="U11" s="68">
        <v>17042825621</v>
      </c>
      <c r="V11" s="68"/>
      <c r="W11" s="53">
        <f>PROYECTOS_DIH[[#This Row],[VALOR DESEMBOLSOS PROYECTO]]/PROYECTOS_DIH[[#This Row],[Valor Proyecto Inicial.]]</f>
        <v>0</v>
      </c>
      <c r="X11" s="54">
        <v>0</v>
      </c>
      <c r="Y11" s="54" t="s">
        <v>1173</v>
      </c>
      <c r="Z11" s="69">
        <v>14000</v>
      </c>
      <c r="AA11" s="70" t="s">
        <v>61</v>
      </c>
      <c r="AB11" s="5" t="s">
        <v>1134</v>
      </c>
      <c r="AC11" s="56" t="s">
        <v>62</v>
      </c>
      <c r="AD11" s="59">
        <v>10.83018223</v>
      </c>
      <c r="AE11" s="59">
        <v>-75.040799140000004</v>
      </c>
      <c r="AF11" s="5" t="s">
        <v>63</v>
      </c>
      <c r="AG11" s="71" t="s">
        <v>64</v>
      </c>
    </row>
    <row r="12" spans="1:33" s="42" customFormat="1" ht="11.4" customHeight="1" x14ac:dyDescent="0.3">
      <c r="A12" s="6" t="s">
        <v>65</v>
      </c>
      <c r="B12" s="43">
        <v>3</v>
      </c>
      <c r="C12" s="94">
        <v>5209</v>
      </c>
      <c r="D12" s="44">
        <v>2017</v>
      </c>
      <c r="E12" s="44" t="s">
        <v>66</v>
      </c>
      <c r="F12" s="8" t="s">
        <v>67</v>
      </c>
      <c r="G12" s="73">
        <v>43048</v>
      </c>
      <c r="H12" s="73">
        <v>46022</v>
      </c>
      <c r="I12" s="47" t="s">
        <v>68</v>
      </c>
      <c r="J12" s="48">
        <v>76736</v>
      </c>
      <c r="K12" s="4" t="s">
        <v>69</v>
      </c>
      <c r="L12" s="8" t="s">
        <v>70</v>
      </c>
      <c r="M12" s="4" t="s">
        <v>71</v>
      </c>
      <c r="N12" s="64" t="s">
        <v>72</v>
      </c>
      <c r="O12" s="49" t="s">
        <v>57</v>
      </c>
      <c r="P12" s="49" t="s">
        <v>58</v>
      </c>
      <c r="Q12" s="74" t="s">
        <v>59</v>
      </c>
      <c r="R12" s="75" t="s">
        <v>60</v>
      </c>
      <c r="S12" s="67">
        <v>0.55000000000000004</v>
      </c>
      <c r="T12" s="67"/>
      <c r="U12" s="76">
        <v>2366969931</v>
      </c>
      <c r="V12" s="76"/>
      <c r="W12" s="53">
        <f>PROYECTOS_DIH[[#This Row],[VALOR DESEMBOLSOS PROYECTO]]/PROYECTOS_DIH[[#This Row],[Valor Proyecto Inicial.]]</f>
        <v>0</v>
      </c>
      <c r="X12" s="54">
        <v>0</v>
      </c>
      <c r="Y12" s="54" t="s">
        <v>1178</v>
      </c>
      <c r="Z12" s="69">
        <v>2020</v>
      </c>
      <c r="AA12" s="70" t="s">
        <v>73</v>
      </c>
      <c r="AB12" s="5" t="s">
        <v>1137</v>
      </c>
      <c r="AC12" s="56" t="s">
        <v>62</v>
      </c>
      <c r="AD12" s="59">
        <v>4.267033273</v>
      </c>
      <c r="AE12" s="59">
        <v>-75.930940579999998</v>
      </c>
      <c r="AF12" s="5" t="s">
        <v>74</v>
      </c>
      <c r="AG12" s="77" t="s">
        <v>75</v>
      </c>
    </row>
    <row r="13" spans="1:33" s="42" customFormat="1" ht="11.4" customHeight="1" x14ac:dyDescent="0.3">
      <c r="A13" s="3" t="s">
        <v>50</v>
      </c>
      <c r="B13" s="43">
        <v>4</v>
      </c>
      <c r="C13" s="94">
        <v>5470</v>
      </c>
      <c r="D13" s="44">
        <v>2017</v>
      </c>
      <c r="E13" s="44" t="s">
        <v>66</v>
      </c>
      <c r="F13" s="4" t="s">
        <v>81</v>
      </c>
      <c r="G13" s="62">
        <v>43048</v>
      </c>
      <c r="H13" s="62">
        <v>46022</v>
      </c>
      <c r="I13" s="47" t="s">
        <v>68</v>
      </c>
      <c r="J13" s="48">
        <v>76275</v>
      </c>
      <c r="K13" s="4" t="s">
        <v>82</v>
      </c>
      <c r="L13" s="45" t="s">
        <v>55</v>
      </c>
      <c r="M13" s="4" t="s">
        <v>83</v>
      </c>
      <c r="N13" s="64" t="s">
        <v>84</v>
      </c>
      <c r="O13" s="49" t="s">
        <v>57</v>
      </c>
      <c r="P13" s="49" t="s">
        <v>58</v>
      </c>
      <c r="Q13" s="74" t="s">
        <v>59</v>
      </c>
      <c r="R13" s="66" t="s">
        <v>60</v>
      </c>
      <c r="S13" s="67">
        <v>0.74490000000000001</v>
      </c>
      <c r="T13" s="67"/>
      <c r="U13" s="52">
        <v>6538803103</v>
      </c>
      <c r="V13" s="52"/>
      <c r="W13" s="53">
        <f>PROYECTOS_DIH[[#This Row],[VALOR DESEMBOLSOS PROYECTO]]/PROYECTOS_DIH[[#This Row],[Valor Proyecto Inicial.]]</f>
        <v>0</v>
      </c>
      <c r="X13" s="54">
        <v>0</v>
      </c>
      <c r="Y13" s="54" t="s">
        <v>1178</v>
      </c>
      <c r="Z13" s="69">
        <v>12000</v>
      </c>
      <c r="AA13" s="70" t="s">
        <v>85</v>
      </c>
      <c r="AB13" s="5" t="s">
        <v>1137</v>
      </c>
      <c r="AC13" s="56" t="s">
        <v>47</v>
      </c>
      <c r="AD13" s="59">
        <v>3.3239181059999998</v>
      </c>
      <c r="AE13" s="59">
        <v>-76.234501739999999</v>
      </c>
      <c r="AF13" s="5" t="s">
        <v>74</v>
      </c>
      <c r="AG13" s="77" t="s">
        <v>75</v>
      </c>
    </row>
    <row r="14" spans="1:33" s="42" customFormat="1" ht="11.4" customHeight="1" x14ac:dyDescent="0.3">
      <c r="A14" s="3" t="s">
        <v>50</v>
      </c>
      <c r="B14" s="43">
        <v>200</v>
      </c>
      <c r="C14" s="94">
        <v>8146</v>
      </c>
      <c r="D14" s="44">
        <v>2017</v>
      </c>
      <c r="E14" s="44" t="s">
        <v>66</v>
      </c>
      <c r="F14" s="4" t="s">
        <v>666</v>
      </c>
      <c r="G14" s="62">
        <v>43047</v>
      </c>
      <c r="H14" s="62">
        <v>46022</v>
      </c>
      <c r="I14" s="4" t="s">
        <v>124</v>
      </c>
      <c r="J14" s="63">
        <v>66400</v>
      </c>
      <c r="K14" s="4" t="s">
        <v>667</v>
      </c>
      <c r="L14" s="8" t="s">
        <v>70</v>
      </c>
      <c r="M14" s="4" t="s">
        <v>71</v>
      </c>
      <c r="N14" s="4" t="s">
        <v>668</v>
      </c>
      <c r="O14" s="49" t="s">
        <v>57</v>
      </c>
      <c r="P14" s="49" t="s">
        <v>58</v>
      </c>
      <c r="Q14" s="74" t="s">
        <v>78</v>
      </c>
      <c r="R14" s="75" t="s">
        <v>58</v>
      </c>
      <c r="S14" s="67">
        <v>1</v>
      </c>
      <c r="T14" s="67"/>
      <c r="U14" s="52">
        <v>7141145860</v>
      </c>
      <c r="V14" s="52"/>
      <c r="W14" s="53">
        <f>PROYECTOS_DIH[[#This Row],[VALOR DESEMBOLSOS PROYECTO]]/PROYECTOS_DIH[[#This Row],[Valor Proyecto Inicial.]]</f>
        <v>0</v>
      </c>
      <c r="X14" s="54">
        <v>0</v>
      </c>
      <c r="Y14" s="54" t="s">
        <v>1175</v>
      </c>
      <c r="Z14" s="69">
        <v>32847</v>
      </c>
      <c r="AA14" s="90" t="s">
        <v>669</v>
      </c>
      <c r="AB14" s="5" t="s">
        <v>1135</v>
      </c>
      <c r="AC14" s="56" t="s">
        <v>62</v>
      </c>
      <c r="AD14" s="59">
        <v>4.8986669569999997</v>
      </c>
      <c r="AE14" s="59">
        <v>-75.884058429999996</v>
      </c>
      <c r="AF14" s="5" t="s">
        <v>129</v>
      </c>
      <c r="AG14" s="60" t="s">
        <v>49</v>
      </c>
    </row>
    <row r="15" spans="1:33" s="42" customFormat="1" ht="11.4" customHeight="1" x14ac:dyDescent="0.3">
      <c r="A15" s="6" t="s">
        <v>65</v>
      </c>
      <c r="B15" s="43">
        <v>5</v>
      </c>
      <c r="C15" s="94">
        <v>11054</v>
      </c>
      <c r="D15" s="44">
        <v>2021</v>
      </c>
      <c r="E15" s="44" t="s">
        <v>86</v>
      </c>
      <c r="F15" s="8" t="s">
        <v>87</v>
      </c>
      <c r="G15" s="73">
        <v>44512</v>
      </c>
      <c r="H15" s="73">
        <v>46022</v>
      </c>
      <c r="I15" s="8" t="s">
        <v>88</v>
      </c>
      <c r="J15" s="78">
        <v>52687</v>
      </c>
      <c r="K15" s="8" t="s">
        <v>89</v>
      </c>
      <c r="L15" s="8" t="s">
        <v>70</v>
      </c>
      <c r="M15" s="8" t="s">
        <v>71</v>
      </c>
      <c r="N15" s="83" t="s">
        <v>90</v>
      </c>
      <c r="O15" s="49" t="s">
        <v>57</v>
      </c>
      <c r="P15" s="49" t="s">
        <v>58</v>
      </c>
      <c r="Q15" s="74" t="s">
        <v>59</v>
      </c>
      <c r="R15" s="75" t="s">
        <v>60</v>
      </c>
      <c r="S15" s="84">
        <v>0.50549999999999995</v>
      </c>
      <c r="T15" s="84"/>
      <c r="U15" s="85">
        <v>5051136001</v>
      </c>
      <c r="V15" s="85"/>
      <c r="W15" s="53">
        <f>PROYECTOS_DIH[[#This Row],[VALOR DESEMBOLSOS PROYECTO]]/PROYECTOS_DIH[[#This Row],[Valor Proyecto Inicial.]]</f>
        <v>0</v>
      </c>
      <c r="X15" s="54">
        <v>0</v>
      </c>
      <c r="Y15" s="54" t="s">
        <v>1171</v>
      </c>
      <c r="Z15" s="86">
        <v>16653</v>
      </c>
      <c r="AA15" s="70" t="s">
        <v>73</v>
      </c>
      <c r="AB15" s="5" t="s">
        <v>1145</v>
      </c>
      <c r="AC15" s="56" t="s">
        <v>62</v>
      </c>
      <c r="AD15" s="59">
        <v>1.5033409870000001</v>
      </c>
      <c r="AE15" s="59">
        <v>-77.215231650000007</v>
      </c>
      <c r="AF15" s="5" t="s">
        <v>91</v>
      </c>
      <c r="AG15" s="77" t="s">
        <v>75</v>
      </c>
    </row>
    <row r="16" spans="1:33" s="42" customFormat="1" ht="11.4" customHeight="1" x14ac:dyDescent="0.3">
      <c r="A16" s="6" t="s">
        <v>65</v>
      </c>
      <c r="B16" s="43">
        <v>6</v>
      </c>
      <c r="C16" s="94">
        <v>11101</v>
      </c>
      <c r="D16" s="44">
        <v>2021</v>
      </c>
      <c r="E16" s="44" t="s">
        <v>92</v>
      </c>
      <c r="F16" s="8" t="s">
        <v>93</v>
      </c>
      <c r="G16" s="73">
        <v>44512</v>
      </c>
      <c r="H16" s="73">
        <v>46022</v>
      </c>
      <c r="I16" s="47" t="s">
        <v>68</v>
      </c>
      <c r="J16" s="48">
        <v>76233</v>
      </c>
      <c r="K16" s="45" t="s">
        <v>94</v>
      </c>
      <c r="L16" s="8" t="s">
        <v>70</v>
      </c>
      <c r="M16" s="8" t="s">
        <v>71</v>
      </c>
      <c r="N16" s="83" t="s">
        <v>95</v>
      </c>
      <c r="O16" s="49" t="s">
        <v>57</v>
      </c>
      <c r="P16" s="49" t="s">
        <v>58</v>
      </c>
      <c r="Q16" s="74" t="s">
        <v>59</v>
      </c>
      <c r="R16" s="66" t="s">
        <v>60</v>
      </c>
      <c r="S16" s="87">
        <v>0.30480000000000002</v>
      </c>
      <c r="T16" s="87"/>
      <c r="U16" s="85">
        <v>3560252749</v>
      </c>
      <c r="V16" s="85"/>
      <c r="W16" s="53">
        <f>PROYECTOS_DIH[[#This Row],[VALOR DESEMBOLSOS PROYECTO]]/PROYECTOS_DIH[[#This Row],[Valor Proyecto Inicial.]]</f>
        <v>0</v>
      </c>
      <c r="X16" s="54">
        <v>0</v>
      </c>
      <c r="Y16" s="54" t="s">
        <v>1174</v>
      </c>
      <c r="Z16" s="86">
        <v>10920</v>
      </c>
      <c r="AA16" s="70" t="s">
        <v>73</v>
      </c>
      <c r="AB16" s="5" t="s">
        <v>1137</v>
      </c>
      <c r="AC16" s="56" t="s">
        <v>96</v>
      </c>
      <c r="AD16" s="59">
        <v>3.6573084850000002</v>
      </c>
      <c r="AE16" s="59">
        <v>-76.68887101</v>
      </c>
      <c r="AF16" s="5" t="s">
        <v>74</v>
      </c>
      <c r="AG16" s="77" t="s">
        <v>75</v>
      </c>
    </row>
    <row r="17" spans="1:33" s="99" customFormat="1" ht="11.4" customHeight="1" x14ac:dyDescent="0.3">
      <c r="A17" s="6" t="s">
        <v>65</v>
      </c>
      <c r="B17" s="43">
        <v>369</v>
      </c>
      <c r="C17" s="191">
        <v>11129</v>
      </c>
      <c r="D17" s="44">
        <v>2021</v>
      </c>
      <c r="E17" s="44" t="s">
        <v>551</v>
      </c>
      <c r="F17" s="45" t="s">
        <v>1112</v>
      </c>
      <c r="G17" s="46">
        <v>44411</v>
      </c>
      <c r="H17" s="160">
        <v>45657</v>
      </c>
      <c r="I17" s="151" t="s">
        <v>160</v>
      </c>
      <c r="J17" s="48">
        <v>73217</v>
      </c>
      <c r="K17" s="73" t="s">
        <v>553</v>
      </c>
      <c r="L17" s="45" t="s">
        <v>70</v>
      </c>
      <c r="M17" s="62" t="s">
        <v>71</v>
      </c>
      <c r="N17" s="8" t="s">
        <v>1113</v>
      </c>
      <c r="O17" s="49" t="s">
        <v>57</v>
      </c>
      <c r="P17" s="49" t="s">
        <v>58</v>
      </c>
      <c r="Q17" s="152" t="s">
        <v>59</v>
      </c>
      <c r="R17" s="50" t="s">
        <v>60</v>
      </c>
      <c r="S17" s="58">
        <v>0.51619999999999999</v>
      </c>
      <c r="T17" s="58"/>
      <c r="U17" s="52">
        <v>5401154693</v>
      </c>
      <c r="V17" s="52"/>
      <c r="W17" s="79">
        <f>PROYECTOS_DIH[[#This Row],[VALOR DESEMBOLSOS PROYECTO]]/PROYECTOS_DIH[[#This Row],[Valor Proyecto Inicial.]]</f>
        <v>0</v>
      </c>
      <c r="X17" s="54"/>
      <c r="Y17" s="54" t="s">
        <v>1177</v>
      </c>
      <c r="Z17" s="55">
        <v>22253</v>
      </c>
      <c r="AA17" s="80"/>
      <c r="AB17" s="5" t="s">
        <v>1146</v>
      </c>
      <c r="AC17" s="56"/>
      <c r="AD17" s="59">
        <v>3.7980279800000001</v>
      </c>
      <c r="AE17" s="59">
        <v>-75.193878299999994</v>
      </c>
      <c r="AF17" s="5" t="s">
        <v>163</v>
      </c>
      <c r="AG17" s="81" t="s">
        <v>80</v>
      </c>
    </row>
    <row r="18" spans="1:33" s="42" customFormat="1" ht="11.4" customHeight="1" x14ac:dyDescent="0.3">
      <c r="A18" s="3" t="s">
        <v>50</v>
      </c>
      <c r="B18" s="43">
        <v>7</v>
      </c>
      <c r="C18" s="94">
        <v>11133</v>
      </c>
      <c r="D18" s="44">
        <v>2021</v>
      </c>
      <c r="E18" s="44" t="s">
        <v>97</v>
      </c>
      <c r="F18" s="8" t="s">
        <v>98</v>
      </c>
      <c r="G18" s="73">
        <v>44512</v>
      </c>
      <c r="H18" s="73">
        <v>46022</v>
      </c>
      <c r="I18" s="8" t="s">
        <v>53</v>
      </c>
      <c r="J18" s="78">
        <v>8141</v>
      </c>
      <c r="K18" s="8" t="s">
        <v>99</v>
      </c>
      <c r="L18" s="45" t="s">
        <v>39</v>
      </c>
      <c r="M18" s="45" t="s">
        <v>100</v>
      </c>
      <c r="N18" s="83" t="s">
        <v>101</v>
      </c>
      <c r="O18" s="49" t="s">
        <v>57</v>
      </c>
      <c r="P18" s="49" t="s">
        <v>58</v>
      </c>
      <c r="Q18" s="49" t="s">
        <v>59</v>
      </c>
      <c r="R18" s="88" t="s">
        <v>58</v>
      </c>
      <c r="S18" s="84">
        <v>1</v>
      </c>
      <c r="T18" s="84"/>
      <c r="U18" s="89">
        <v>4083272953</v>
      </c>
      <c r="V18" s="89"/>
      <c r="W18" s="53">
        <f>PROYECTOS_DIH[[#This Row],[VALOR DESEMBOLSOS PROYECTO]]/PROYECTOS_DIH[[#This Row],[Valor Proyecto Inicial.]]</f>
        <v>0</v>
      </c>
      <c r="X18" s="54">
        <v>0</v>
      </c>
      <c r="Y18" s="54" t="s">
        <v>1170</v>
      </c>
      <c r="Z18" s="86">
        <v>3158</v>
      </c>
      <c r="AA18" s="90" t="s">
        <v>102</v>
      </c>
      <c r="AB18" s="5" t="s">
        <v>1134</v>
      </c>
      <c r="AC18" s="56" t="s">
        <v>62</v>
      </c>
      <c r="AD18" s="59">
        <v>10.461217230000001</v>
      </c>
      <c r="AE18" s="59">
        <v>-74.879912599999997</v>
      </c>
      <c r="AF18" s="5" t="s">
        <v>63</v>
      </c>
      <c r="AG18" s="71" t="s">
        <v>64</v>
      </c>
    </row>
    <row r="19" spans="1:33" s="42" customFormat="1" ht="11.4" customHeight="1" x14ac:dyDescent="0.3">
      <c r="A19" s="6" t="s">
        <v>65</v>
      </c>
      <c r="B19" s="43">
        <v>8</v>
      </c>
      <c r="C19" s="94">
        <v>11154</v>
      </c>
      <c r="D19" s="44">
        <v>2021</v>
      </c>
      <c r="E19" s="44" t="s">
        <v>103</v>
      </c>
      <c r="F19" s="5" t="s">
        <v>104</v>
      </c>
      <c r="G19" s="11">
        <v>44405</v>
      </c>
      <c r="H19" s="11">
        <v>45291.622372685182</v>
      </c>
      <c r="I19" s="5" t="s">
        <v>105</v>
      </c>
      <c r="J19" s="82">
        <v>68147</v>
      </c>
      <c r="K19" s="5" t="s">
        <v>106</v>
      </c>
      <c r="L19" s="8" t="s">
        <v>70</v>
      </c>
      <c r="M19" s="5" t="s">
        <v>71</v>
      </c>
      <c r="N19" s="45" t="s">
        <v>107</v>
      </c>
      <c r="O19" s="45" t="s">
        <v>57</v>
      </c>
      <c r="P19" s="45" t="s">
        <v>58</v>
      </c>
      <c r="Q19" s="45" t="s">
        <v>59</v>
      </c>
      <c r="R19" s="66" t="s">
        <v>60</v>
      </c>
      <c r="S19" s="58">
        <v>0.13</v>
      </c>
      <c r="T19" s="58"/>
      <c r="U19" s="91">
        <v>369104474.5</v>
      </c>
      <c r="V19" s="91"/>
      <c r="W19" s="53">
        <f>PROYECTOS_DIH[[#This Row],[VALOR DESEMBOLSOS PROYECTO]]/PROYECTOS_DIH[[#This Row],[Valor Proyecto Inicial.]]</f>
        <v>0</v>
      </c>
      <c r="X19" s="54">
        <v>0</v>
      </c>
      <c r="Y19" s="54" t="s">
        <v>1179</v>
      </c>
      <c r="Z19" s="92"/>
      <c r="AA19" s="57" t="s">
        <v>108</v>
      </c>
      <c r="AB19" s="5" t="s">
        <v>1154</v>
      </c>
      <c r="AC19" s="56" t="s">
        <v>62</v>
      </c>
      <c r="AD19" s="59">
        <v>6.5331799820000001</v>
      </c>
      <c r="AE19" s="59">
        <v>-72.699199590000006</v>
      </c>
      <c r="AF19" s="5" t="s">
        <v>109</v>
      </c>
      <c r="AG19" s="93" t="s">
        <v>110</v>
      </c>
    </row>
    <row r="20" spans="1:33" s="42" customFormat="1" ht="11.4" customHeight="1" x14ac:dyDescent="0.3">
      <c r="A20" s="3" t="s">
        <v>50</v>
      </c>
      <c r="B20" s="43">
        <v>10</v>
      </c>
      <c r="C20" s="94">
        <v>11162</v>
      </c>
      <c r="D20" s="44">
        <v>2021</v>
      </c>
      <c r="E20" s="44" t="s">
        <v>66</v>
      </c>
      <c r="F20" s="8" t="s">
        <v>123</v>
      </c>
      <c r="G20" s="73">
        <v>44490</v>
      </c>
      <c r="H20" s="73">
        <v>46021</v>
      </c>
      <c r="I20" s="8" t="s">
        <v>124</v>
      </c>
      <c r="J20" s="78">
        <v>66594</v>
      </c>
      <c r="K20" s="96" t="s">
        <v>125</v>
      </c>
      <c r="L20" s="45" t="s">
        <v>39</v>
      </c>
      <c r="M20" s="45" t="s">
        <v>126</v>
      </c>
      <c r="N20" s="83" t="s">
        <v>127</v>
      </c>
      <c r="O20" s="49" t="s">
        <v>57</v>
      </c>
      <c r="P20" s="49" t="s">
        <v>58</v>
      </c>
      <c r="Q20" s="74" t="s">
        <v>59</v>
      </c>
      <c r="R20" s="88" t="s">
        <v>58</v>
      </c>
      <c r="S20" s="87">
        <v>1</v>
      </c>
      <c r="T20" s="87"/>
      <c r="U20" s="89">
        <v>998166654</v>
      </c>
      <c r="V20" s="89"/>
      <c r="W20" s="53">
        <f>PROYECTOS_DIH[[#This Row],[VALOR DESEMBOLSOS PROYECTO]]/PROYECTOS_DIH[[#This Row],[Valor Proyecto Inicial.]]</f>
        <v>0</v>
      </c>
      <c r="X20" s="54">
        <v>0</v>
      </c>
      <c r="Y20" s="54" t="s">
        <v>1171</v>
      </c>
      <c r="Z20" s="86">
        <v>1604</v>
      </c>
      <c r="AA20" s="90" t="s">
        <v>128</v>
      </c>
      <c r="AB20" s="5" t="s">
        <v>1135</v>
      </c>
      <c r="AC20" s="56" t="s">
        <v>96</v>
      </c>
      <c r="AD20" s="59">
        <v>5.3404456800000002</v>
      </c>
      <c r="AE20" s="59">
        <v>-75.730412599999994</v>
      </c>
      <c r="AF20" s="5" t="s">
        <v>129</v>
      </c>
      <c r="AG20" s="60" t="s">
        <v>49</v>
      </c>
    </row>
    <row r="21" spans="1:33" s="42" customFormat="1" ht="11.4" customHeight="1" x14ac:dyDescent="0.3">
      <c r="A21" s="1" t="s">
        <v>34</v>
      </c>
      <c r="B21" s="43">
        <v>11</v>
      </c>
      <c r="C21" s="191">
        <v>11275</v>
      </c>
      <c r="D21" s="19">
        <v>2024</v>
      </c>
      <c r="E21" s="44" t="s">
        <v>35</v>
      </c>
      <c r="F21" s="45" t="s">
        <v>36</v>
      </c>
      <c r="G21" s="46">
        <v>45653</v>
      </c>
      <c r="H21" s="46">
        <v>46441</v>
      </c>
      <c r="I21" s="47" t="s">
        <v>37</v>
      </c>
      <c r="J21" s="48">
        <v>27800</v>
      </c>
      <c r="K21" s="97" t="s">
        <v>130</v>
      </c>
      <c r="L21" s="45" t="s">
        <v>39</v>
      </c>
      <c r="M21" s="45" t="s">
        <v>100</v>
      </c>
      <c r="N21" s="4" t="s">
        <v>131</v>
      </c>
      <c r="O21" s="49" t="s">
        <v>42</v>
      </c>
      <c r="P21" s="49" t="s">
        <v>132</v>
      </c>
      <c r="Q21" s="49" t="s">
        <v>44</v>
      </c>
      <c r="R21" s="50" t="s">
        <v>133</v>
      </c>
      <c r="S21" s="51">
        <v>0</v>
      </c>
      <c r="T21" s="51"/>
      <c r="U21" s="52">
        <v>2009000000</v>
      </c>
      <c r="V21" s="52"/>
      <c r="W21" s="53">
        <f>PROYECTOS_DIH[[#This Row],[VALOR DESEMBOLSOS PROYECTO]]/PROYECTOS_DIH[[#This Row],[Valor Proyecto Inicial.]]</f>
        <v>0</v>
      </c>
      <c r="X21" s="54">
        <v>0</v>
      </c>
      <c r="Y21" s="54" t="s">
        <v>1180</v>
      </c>
      <c r="Z21" s="55">
        <v>10000</v>
      </c>
      <c r="AA21" s="57" t="s">
        <v>134</v>
      </c>
      <c r="AB21" s="5" t="s">
        <v>1141</v>
      </c>
      <c r="AC21" s="56" t="s">
        <v>47</v>
      </c>
      <c r="AD21" s="59">
        <v>8.0427607820000002</v>
      </c>
      <c r="AE21" s="59">
        <v>-77.091753030000007</v>
      </c>
      <c r="AF21" s="5" t="s">
        <v>48</v>
      </c>
      <c r="AG21" s="60" t="s">
        <v>49</v>
      </c>
    </row>
    <row r="22" spans="1:33" s="42" customFormat="1" ht="11.4" customHeight="1" x14ac:dyDescent="0.3">
      <c r="A22" s="6" t="s">
        <v>65</v>
      </c>
      <c r="B22" s="43">
        <v>12</v>
      </c>
      <c r="C22" s="94">
        <v>11319</v>
      </c>
      <c r="D22" s="44">
        <v>2021</v>
      </c>
      <c r="E22" s="44" t="s">
        <v>86</v>
      </c>
      <c r="F22" s="4" t="s">
        <v>135</v>
      </c>
      <c r="G22" s="62">
        <v>44512</v>
      </c>
      <c r="H22" s="62">
        <v>46022</v>
      </c>
      <c r="I22" s="4" t="s">
        <v>88</v>
      </c>
      <c r="J22" s="63">
        <v>52001</v>
      </c>
      <c r="K22" s="97" t="s">
        <v>136</v>
      </c>
      <c r="L22" s="45" t="s">
        <v>39</v>
      </c>
      <c r="M22" s="45" t="s">
        <v>100</v>
      </c>
      <c r="N22" s="64" t="s">
        <v>137</v>
      </c>
      <c r="O22" s="49" t="s">
        <v>57</v>
      </c>
      <c r="P22" s="49" t="s">
        <v>58</v>
      </c>
      <c r="Q22" s="74" t="s">
        <v>59</v>
      </c>
      <c r="R22" s="66" t="s">
        <v>60</v>
      </c>
      <c r="S22" s="53">
        <v>0.30059999999999998</v>
      </c>
      <c r="T22" s="53"/>
      <c r="U22" s="52">
        <v>7685017860</v>
      </c>
      <c r="V22" s="52"/>
      <c r="W22" s="53">
        <f>PROYECTOS_DIH[[#This Row],[VALOR DESEMBOLSOS PROYECTO]]/PROYECTOS_DIH[[#This Row],[Valor Proyecto Inicial.]]</f>
        <v>0</v>
      </c>
      <c r="X22" s="54">
        <v>0</v>
      </c>
      <c r="Y22" s="54" t="s">
        <v>1171</v>
      </c>
      <c r="Z22" s="69">
        <v>379546</v>
      </c>
      <c r="AA22" s="57" t="s">
        <v>138</v>
      </c>
      <c r="AB22" s="5" t="s">
        <v>1145</v>
      </c>
      <c r="AC22" s="56" t="s">
        <v>62</v>
      </c>
      <c r="AD22" s="59">
        <v>1.212124365</v>
      </c>
      <c r="AE22" s="59">
        <v>-77.278576349999994</v>
      </c>
      <c r="AF22" s="5" t="s">
        <v>91</v>
      </c>
      <c r="AG22" s="77" t="s">
        <v>75</v>
      </c>
    </row>
    <row r="23" spans="1:33" s="42" customFormat="1" ht="11.4" customHeight="1" x14ac:dyDescent="0.3">
      <c r="A23" s="3" t="s">
        <v>50</v>
      </c>
      <c r="B23" s="43">
        <v>13</v>
      </c>
      <c r="C23" s="94">
        <v>11402</v>
      </c>
      <c r="D23" s="44">
        <v>2021</v>
      </c>
      <c r="E23" s="44" t="s">
        <v>139</v>
      </c>
      <c r="F23" s="8" t="s">
        <v>140</v>
      </c>
      <c r="G23" s="73">
        <v>44512</v>
      </c>
      <c r="H23" s="73">
        <v>46022</v>
      </c>
      <c r="I23" s="45" t="s">
        <v>141</v>
      </c>
      <c r="J23" s="98">
        <v>23675</v>
      </c>
      <c r="K23" s="8" t="s">
        <v>142</v>
      </c>
      <c r="L23" s="45" t="s">
        <v>39</v>
      </c>
      <c r="M23" s="45" t="s">
        <v>100</v>
      </c>
      <c r="N23" s="83" t="s">
        <v>143</v>
      </c>
      <c r="O23" s="49" t="s">
        <v>57</v>
      </c>
      <c r="P23" s="49" t="s">
        <v>58</v>
      </c>
      <c r="Q23" s="74" t="s">
        <v>59</v>
      </c>
      <c r="R23" s="88" t="s">
        <v>58</v>
      </c>
      <c r="S23" s="84">
        <v>0.99</v>
      </c>
      <c r="T23" s="84"/>
      <c r="U23" s="89">
        <v>1530398888</v>
      </c>
      <c r="V23" s="89"/>
      <c r="W23" s="53">
        <f>PROYECTOS_DIH[[#This Row],[VALOR DESEMBOLSOS PROYECTO]]/PROYECTOS_DIH[[#This Row],[Valor Proyecto Inicial.]]</f>
        <v>0</v>
      </c>
      <c r="X23" s="54">
        <v>0</v>
      </c>
      <c r="Y23" s="54" t="s">
        <v>1173</v>
      </c>
      <c r="Z23" s="55">
        <v>5420</v>
      </c>
      <c r="AA23" s="90" t="s">
        <v>144</v>
      </c>
      <c r="AB23" s="5" t="s">
        <v>1142</v>
      </c>
      <c r="AC23" s="56" t="s">
        <v>62</v>
      </c>
      <c r="AD23" s="59">
        <v>9.3523019890000008</v>
      </c>
      <c r="AE23" s="59">
        <v>-75.954743870000001</v>
      </c>
      <c r="AF23" s="5" t="s">
        <v>145</v>
      </c>
      <c r="AG23" s="71" t="s">
        <v>64</v>
      </c>
    </row>
    <row r="24" spans="1:33" s="42" customFormat="1" ht="11.4" customHeight="1" x14ac:dyDescent="0.3">
      <c r="A24" s="3" t="s">
        <v>50</v>
      </c>
      <c r="B24" s="43">
        <v>14</v>
      </c>
      <c r="C24" s="94">
        <v>11488</v>
      </c>
      <c r="D24" s="44">
        <v>2021</v>
      </c>
      <c r="E24" s="44" t="s">
        <v>97</v>
      </c>
      <c r="F24" s="8" t="s">
        <v>146</v>
      </c>
      <c r="G24" s="62">
        <v>44512</v>
      </c>
      <c r="H24" s="62">
        <v>46022</v>
      </c>
      <c r="I24" s="4" t="s">
        <v>53</v>
      </c>
      <c r="J24" s="63">
        <v>8141</v>
      </c>
      <c r="K24" s="4" t="s">
        <v>99</v>
      </c>
      <c r="L24" s="45" t="s">
        <v>39</v>
      </c>
      <c r="M24" s="45" t="s">
        <v>100</v>
      </c>
      <c r="N24" s="64" t="s">
        <v>147</v>
      </c>
      <c r="O24" s="49" t="s">
        <v>57</v>
      </c>
      <c r="P24" s="49" t="s">
        <v>58</v>
      </c>
      <c r="Q24" s="49" t="s">
        <v>59</v>
      </c>
      <c r="R24" s="75" t="s">
        <v>58</v>
      </c>
      <c r="S24" s="67">
        <v>1</v>
      </c>
      <c r="T24" s="67"/>
      <c r="U24" s="52">
        <v>2412085904</v>
      </c>
      <c r="V24" s="52"/>
      <c r="W24" s="53">
        <f>PROYECTOS_DIH[[#This Row],[VALOR DESEMBOLSOS PROYECTO]]/PROYECTOS_DIH[[#This Row],[Valor Proyecto Inicial.]]</f>
        <v>0</v>
      </c>
      <c r="X24" s="54">
        <v>0</v>
      </c>
      <c r="Y24" s="54" t="s">
        <v>1170</v>
      </c>
      <c r="Z24" s="69">
        <v>1500</v>
      </c>
      <c r="AA24" s="70" t="s">
        <v>148</v>
      </c>
      <c r="AB24" s="5" t="s">
        <v>1134</v>
      </c>
      <c r="AC24" s="56" t="s">
        <v>62</v>
      </c>
      <c r="AD24" s="59">
        <v>10.461217230000001</v>
      </c>
      <c r="AE24" s="59">
        <v>-74.879912599999997</v>
      </c>
      <c r="AF24" s="5" t="s">
        <v>63</v>
      </c>
      <c r="AG24" s="71" t="s">
        <v>64</v>
      </c>
    </row>
    <row r="25" spans="1:33" s="42" customFormat="1" ht="11.4" customHeight="1" x14ac:dyDescent="0.3">
      <c r="A25" s="6" t="s">
        <v>65</v>
      </c>
      <c r="B25" s="43">
        <v>15</v>
      </c>
      <c r="C25" s="94">
        <v>11584</v>
      </c>
      <c r="D25" s="44">
        <v>2021</v>
      </c>
      <c r="E25" s="44" t="s">
        <v>151</v>
      </c>
      <c r="F25" s="5" t="s">
        <v>152</v>
      </c>
      <c r="G25" s="11">
        <v>44512</v>
      </c>
      <c r="H25" s="13">
        <v>45838.465150462966</v>
      </c>
      <c r="I25" s="45" t="s">
        <v>153</v>
      </c>
      <c r="J25" s="98">
        <v>15753</v>
      </c>
      <c r="K25" s="45" t="s">
        <v>154</v>
      </c>
      <c r="L25" s="8" t="s">
        <v>70</v>
      </c>
      <c r="M25" s="45" t="s">
        <v>71</v>
      </c>
      <c r="N25" s="5" t="s">
        <v>155</v>
      </c>
      <c r="O25" s="49" t="s">
        <v>57</v>
      </c>
      <c r="P25" s="64" t="s">
        <v>58</v>
      </c>
      <c r="Q25" s="45" t="s">
        <v>59</v>
      </c>
      <c r="R25" s="75" t="s">
        <v>60</v>
      </c>
      <c r="S25" s="51">
        <v>0.33</v>
      </c>
      <c r="T25" s="51"/>
      <c r="U25" s="100">
        <v>263199352</v>
      </c>
      <c r="V25" s="100"/>
      <c r="W25" s="101">
        <f>PROYECTOS_DIH[[#This Row],[VALOR DESEMBOLSOS PROYECTO]]/PROYECTOS_DIH[[#This Row],[Valor Proyecto Inicial.]]</f>
        <v>1</v>
      </c>
      <c r="X25" s="100">
        <v>263199352</v>
      </c>
      <c r="Y25" s="54" t="s">
        <v>1172</v>
      </c>
      <c r="Z25" s="102"/>
      <c r="AA25" s="80" t="s">
        <v>156</v>
      </c>
      <c r="AB25" s="5" t="s">
        <v>1160</v>
      </c>
      <c r="AC25" s="56" t="s">
        <v>62</v>
      </c>
      <c r="AD25" s="59">
        <v>6.3319119370000001</v>
      </c>
      <c r="AE25" s="59">
        <v>-72.684024980000004</v>
      </c>
      <c r="AF25" s="5" t="s">
        <v>157</v>
      </c>
      <c r="AG25" s="103" t="s">
        <v>110</v>
      </c>
    </row>
    <row r="26" spans="1:33" s="42" customFormat="1" ht="11.4" customHeight="1" x14ac:dyDescent="0.3">
      <c r="A26" s="6" t="s">
        <v>65</v>
      </c>
      <c r="B26" s="43">
        <v>16</v>
      </c>
      <c r="C26" s="94">
        <v>11642</v>
      </c>
      <c r="D26" s="44">
        <v>2021</v>
      </c>
      <c r="E26" s="44" t="s">
        <v>158</v>
      </c>
      <c r="F26" s="8" t="s">
        <v>159</v>
      </c>
      <c r="G26" s="73">
        <v>44442</v>
      </c>
      <c r="H26" s="73">
        <v>46022</v>
      </c>
      <c r="I26" s="4" t="s">
        <v>160</v>
      </c>
      <c r="J26" s="63">
        <v>73547</v>
      </c>
      <c r="K26" s="4" t="s">
        <v>161</v>
      </c>
      <c r="L26" s="8" t="s">
        <v>70</v>
      </c>
      <c r="M26" s="4" t="s">
        <v>71</v>
      </c>
      <c r="N26" s="64" t="s">
        <v>162</v>
      </c>
      <c r="O26" s="49" t="s">
        <v>57</v>
      </c>
      <c r="P26" s="49" t="s">
        <v>58</v>
      </c>
      <c r="Q26" s="74" t="s">
        <v>59</v>
      </c>
      <c r="R26" s="66" t="s">
        <v>60</v>
      </c>
      <c r="S26" s="67">
        <v>0.25209999999999999</v>
      </c>
      <c r="T26" s="67"/>
      <c r="U26" s="76">
        <v>1956040613</v>
      </c>
      <c r="V26" s="76"/>
      <c r="W26" s="53">
        <f>PROYECTOS_DIH[[#This Row],[VALOR DESEMBOLSOS PROYECTO]]/PROYECTOS_DIH[[#This Row],[Valor Proyecto Inicial.]]</f>
        <v>0</v>
      </c>
      <c r="X26" s="54">
        <v>0</v>
      </c>
      <c r="Y26" s="54" t="s">
        <v>1175</v>
      </c>
      <c r="Z26" s="69">
        <v>5574</v>
      </c>
      <c r="AA26" s="70" t="s">
        <v>73</v>
      </c>
      <c r="AB26" s="5" t="s">
        <v>1146</v>
      </c>
      <c r="AC26" s="56" t="s">
        <v>62</v>
      </c>
      <c r="AD26" s="59">
        <v>4.5439082859999997</v>
      </c>
      <c r="AE26" s="59">
        <v>-74.878073990000004</v>
      </c>
      <c r="AF26" s="5" t="s">
        <v>163</v>
      </c>
      <c r="AG26" s="81" t="s">
        <v>80</v>
      </c>
    </row>
    <row r="27" spans="1:33" s="42" customFormat="1" ht="11.4" customHeight="1" x14ac:dyDescent="0.3">
      <c r="A27" s="3" t="s">
        <v>50</v>
      </c>
      <c r="B27" s="43">
        <v>251</v>
      </c>
      <c r="C27" s="94">
        <v>11648</v>
      </c>
      <c r="D27" s="44">
        <v>2021</v>
      </c>
      <c r="E27" s="44" t="s">
        <v>831</v>
      </c>
      <c r="F27" s="8" t="s">
        <v>832</v>
      </c>
      <c r="G27" s="62">
        <v>44435</v>
      </c>
      <c r="H27" s="62">
        <v>46021</v>
      </c>
      <c r="I27" s="4" t="s">
        <v>160</v>
      </c>
      <c r="J27" s="63">
        <v>73563</v>
      </c>
      <c r="K27" s="4" t="s">
        <v>833</v>
      </c>
      <c r="L27" s="8" t="s">
        <v>70</v>
      </c>
      <c r="M27" s="4" t="s">
        <v>71</v>
      </c>
      <c r="N27" s="64" t="s">
        <v>834</v>
      </c>
      <c r="O27" s="49" t="s">
        <v>57</v>
      </c>
      <c r="P27" s="49" t="s">
        <v>58</v>
      </c>
      <c r="Q27" s="74" t="s">
        <v>78</v>
      </c>
      <c r="R27" s="66" t="s">
        <v>58</v>
      </c>
      <c r="S27" s="53">
        <v>1</v>
      </c>
      <c r="T27" s="53"/>
      <c r="U27" s="52">
        <v>2001772647</v>
      </c>
      <c r="V27" s="52"/>
      <c r="W27" s="53">
        <f>PROYECTOS_DIH[[#This Row],[VALOR DESEMBOLSOS PROYECTO]]/PROYECTOS_DIH[[#This Row],[Valor Proyecto Inicial.]]</f>
        <v>0</v>
      </c>
      <c r="X27" s="54">
        <v>0</v>
      </c>
      <c r="Y27" s="54" t="s">
        <v>1175</v>
      </c>
      <c r="Z27" s="69">
        <v>8415</v>
      </c>
      <c r="AA27" s="108" t="s">
        <v>835</v>
      </c>
      <c r="AB27" s="5" t="s">
        <v>1146</v>
      </c>
      <c r="AC27" s="56" t="s">
        <v>96</v>
      </c>
      <c r="AD27" s="59">
        <v>3.7510132340000002</v>
      </c>
      <c r="AE27" s="59">
        <v>-74.927455570000006</v>
      </c>
      <c r="AF27" s="5" t="s">
        <v>163</v>
      </c>
      <c r="AG27" s="81" t="s">
        <v>80</v>
      </c>
    </row>
    <row r="28" spans="1:33" s="42" customFormat="1" ht="11.4" customHeight="1" x14ac:dyDescent="0.3">
      <c r="A28" s="3" t="s">
        <v>50</v>
      </c>
      <c r="B28" s="43">
        <v>17</v>
      </c>
      <c r="C28" s="94">
        <v>11700</v>
      </c>
      <c r="D28" s="44">
        <v>2021</v>
      </c>
      <c r="E28" s="44" t="s">
        <v>164</v>
      </c>
      <c r="F28" s="8" t="s">
        <v>165</v>
      </c>
      <c r="G28" s="104">
        <v>44421</v>
      </c>
      <c r="H28" s="104">
        <v>46387</v>
      </c>
      <c r="I28" s="47" t="s">
        <v>166</v>
      </c>
      <c r="J28" s="48">
        <v>41770</v>
      </c>
      <c r="K28" s="105" t="s">
        <v>167</v>
      </c>
      <c r="L28" s="8" t="s">
        <v>70</v>
      </c>
      <c r="M28" s="8" t="s">
        <v>71</v>
      </c>
      <c r="N28" s="83" t="s">
        <v>168</v>
      </c>
      <c r="O28" s="45" t="s">
        <v>42</v>
      </c>
      <c r="P28" s="49" t="s">
        <v>169</v>
      </c>
      <c r="Q28" s="74" t="s">
        <v>170</v>
      </c>
      <c r="R28" s="88" t="s">
        <v>169</v>
      </c>
      <c r="S28" s="84">
        <v>0.5917</v>
      </c>
      <c r="T28" s="84"/>
      <c r="U28" s="89">
        <v>1145287657</v>
      </c>
      <c r="V28" s="89"/>
      <c r="W28" s="53">
        <f>PROYECTOS_DIH[[#This Row],[VALOR DESEMBOLSOS PROYECTO]]/PROYECTOS_DIH[[#This Row],[Valor Proyecto Inicial.]]</f>
        <v>0</v>
      </c>
      <c r="X28" s="54">
        <v>0</v>
      </c>
      <c r="Y28" s="54" t="s">
        <v>1175</v>
      </c>
      <c r="Z28" s="86">
        <v>17994</v>
      </c>
      <c r="AA28" s="90" t="s">
        <v>171</v>
      </c>
      <c r="AB28" s="5" t="s">
        <v>1155</v>
      </c>
      <c r="AC28" s="56" t="s">
        <v>62</v>
      </c>
      <c r="AD28" s="59">
        <v>1.9758460900000001</v>
      </c>
      <c r="AE28" s="59">
        <v>-75.7950558</v>
      </c>
      <c r="AF28" s="5" t="s">
        <v>172</v>
      </c>
      <c r="AG28" s="81" t="s">
        <v>80</v>
      </c>
    </row>
    <row r="29" spans="1:33" s="42" customFormat="1" ht="11.4" customHeight="1" x14ac:dyDescent="0.3">
      <c r="A29" s="3" t="s">
        <v>50</v>
      </c>
      <c r="B29" s="43">
        <v>18</v>
      </c>
      <c r="C29" s="94">
        <v>11728</v>
      </c>
      <c r="D29" s="44">
        <v>2021</v>
      </c>
      <c r="E29" s="44" t="s">
        <v>174</v>
      </c>
      <c r="F29" s="8" t="s">
        <v>175</v>
      </c>
      <c r="G29" s="73">
        <v>44512</v>
      </c>
      <c r="H29" s="73">
        <v>46022</v>
      </c>
      <c r="I29" s="8" t="s">
        <v>176</v>
      </c>
      <c r="J29" s="78">
        <v>54223</v>
      </c>
      <c r="K29" s="8" t="s">
        <v>177</v>
      </c>
      <c r="L29" s="45" t="s">
        <v>39</v>
      </c>
      <c r="M29" s="45" t="s">
        <v>100</v>
      </c>
      <c r="N29" s="83" t="s">
        <v>178</v>
      </c>
      <c r="O29" s="49" t="s">
        <v>57</v>
      </c>
      <c r="P29" s="49" t="s">
        <v>58</v>
      </c>
      <c r="Q29" s="74" t="s">
        <v>59</v>
      </c>
      <c r="R29" s="88" t="s">
        <v>58</v>
      </c>
      <c r="S29" s="84">
        <v>1</v>
      </c>
      <c r="T29" s="84"/>
      <c r="U29" s="89">
        <v>2539263062</v>
      </c>
      <c r="V29" s="89"/>
      <c r="W29" s="53">
        <f>PROYECTOS_DIH[[#This Row],[VALOR DESEMBOLSOS PROYECTO]]/PROYECTOS_DIH[[#This Row],[Valor Proyecto Inicial.]]</f>
        <v>0</v>
      </c>
      <c r="X29" s="54">
        <v>0</v>
      </c>
      <c r="Y29" s="54" t="s">
        <v>1172</v>
      </c>
      <c r="Z29" s="86">
        <v>1000</v>
      </c>
      <c r="AA29" s="107" t="s">
        <v>179</v>
      </c>
      <c r="AB29" s="5" t="s">
        <v>1136</v>
      </c>
      <c r="AC29" s="56" t="s">
        <v>62</v>
      </c>
      <c r="AD29" s="59">
        <v>7.5389871370000003</v>
      </c>
      <c r="AE29" s="59">
        <v>-72.772571909999996</v>
      </c>
      <c r="AF29" s="5" t="s">
        <v>180</v>
      </c>
      <c r="AG29" s="93" t="s">
        <v>110</v>
      </c>
    </row>
    <row r="30" spans="1:33" s="42" customFormat="1" ht="11.4" customHeight="1" x14ac:dyDescent="0.3">
      <c r="A30" s="3" t="s">
        <v>50</v>
      </c>
      <c r="B30" s="43">
        <v>189</v>
      </c>
      <c r="C30" s="94">
        <v>11748</v>
      </c>
      <c r="D30" s="44">
        <v>2021</v>
      </c>
      <c r="E30" s="44" t="s">
        <v>635</v>
      </c>
      <c r="F30" s="5" t="s">
        <v>636</v>
      </c>
      <c r="G30" s="46">
        <v>44420</v>
      </c>
      <c r="H30" s="13">
        <v>45838</v>
      </c>
      <c r="I30" s="5" t="s">
        <v>437</v>
      </c>
      <c r="J30" s="82">
        <v>94001</v>
      </c>
      <c r="K30" s="97" t="s">
        <v>438</v>
      </c>
      <c r="L30" s="8" t="s">
        <v>70</v>
      </c>
      <c r="M30" s="4" t="s">
        <v>190</v>
      </c>
      <c r="N30" s="5" t="s">
        <v>637</v>
      </c>
      <c r="O30" s="5" t="s">
        <v>57</v>
      </c>
      <c r="P30" s="49" t="s">
        <v>58</v>
      </c>
      <c r="Q30" s="45" t="s">
        <v>78</v>
      </c>
      <c r="R30" s="50" t="s">
        <v>59</v>
      </c>
      <c r="S30" s="58">
        <v>1</v>
      </c>
      <c r="T30" s="58"/>
      <c r="U30" s="143">
        <v>5816870198</v>
      </c>
      <c r="V30" s="143"/>
      <c r="W30" s="53">
        <v>1</v>
      </c>
      <c r="X30" s="54">
        <v>0</v>
      </c>
      <c r="Y30" s="54" t="s">
        <v>1176</v>
      </c>
      <c r="Z30" s="92">
        <v>37917</v>
      </c>
      <c r="AA30" s="80" t="s">
        <v>638</v>
      </c>
      <c r="AB30" s="5" t="s">
        <v>1147</v>
      </c>
      <c r="AC30" s="56" t="s">
        <v>62</v>
      </c>
      <c r="AD30" s="59">
        <v>3.8661616190000001</v>
      </c>
      <c r="AE30" s="59">
        <v>-67.918836839999997</v>
      </c>
      <c r="AF30" s="5" t="s">
        <v>440</v>
      </c>
      <c r="AG30" s="109" t="s">
        <v>188</v>
      </c>
    </row>
    <row r="31" spans="1:33" s="42" customFormat="1" ht="11.4" customHeight="1" x14ac:dyDescent="0.3">
      <c r="A31" s="6" t="s">
        <v>65</v>
      </c>
      <c r="B31" s="43">
        <v>19</v>
      </c>
      <c r="C31" s="94">
        <v>11781</v>
      </c>
      <c r="D31" s="44">
        <v>2021</v>
      </c>
      <c r="E31" s="44" t="s">
        <v>181</v>
      </c>
      <c r="F31" s="2" t="s">
        <v>182</v>
      </c>
      <c r="G31" s="12">
        <v>44477</v>
      </c>
      <c r="H31" s="12">
        <v>46142</v>
      </c>
      <c r="I31" s="4" t="s">
        <v>183</v>
      </c>
      <c r="J31" s="63">
        <v>95001</v>
      </c>
      <c r="K31" s="47" t="s">
        <v>184</v>
      </c>
      <c r="L31" s="8" t="s">
        <v>70</v>
      </c>
      <c r="M31" s="4" t="s">
        <v>71</v>
      </c>
      <c r="N31" s="64" t="s">
        <v>185</v>
      </c>
      <c r="O31" s="49" t="s">
        <v>57</v>
      </c>
      <c r="P31" s="49" t="s">
        <v>58</v>
      </c>
      <c r="Q31" s="74" t="s">
        <v>59</v>
      </c>
      <c r="R31" s="75" t="s">
        <v>60</v>
      </c>
      <c r="S31" s="53">
        <v>0.90090000000000003</v>
      </c>
      <c r="T31" s="53"/>
      <c r="U31" s="52">
        <v>3985575956</v>
      </c>
      <c r="V31" s="52"/>
      <c r="W31" s="53">
        <f>PROYECTOS_DIH[[#This Row],[VALOR DESEMBOLSOS PROYECTO]]/PROYECTOS_DIH[[#This Row],[Valor Proyecto Inicial.]]</f>
        <v>0</v>
      </c>
      <c r="X31" s="54">
        <v>0</v>
      </c>
      <c r="Y31" s="54" t="s">
        <v>1177</v>
      </c>
      <c r="Z31" s="69">
        <v>47850</v>
      </c>
      <c r="AA31" s="108" t="s">
        <v>186</v>
      </c>
      <c r="AB31" s="5" t="s">
        <v>1151</v>
      </c>
      <c r="AC31" s="56" t="s">
        <v>47</v>
      </c>
      <c r="AD31" s="59">
        <v>2.5664283989999999</v>
      </c>
      <c r="AE31" s="59">
        <v>-72.638986220000007</v>
      </c>
      <c r="AF31" s="5" t="s">
        <v>187</v>
      </c>
      <c r="AG31" s="109" t="s">
        <v>188</v>
      </c>
    </row>
    <row r="32" spans="1:33" s="42" customFormat="1" ht="11.4" customHeight="1" x14ac:dyDescent="0.3">
      <c r="A32" s="3" t="s">
        <v>50</v>
      </c>
      <c r="B32" s="43">
        <v>20</v>
      </c>
      <c r="C32" s="94">
        <v>11792</v>
      </c>
      <c r="D32" s="44">
        <v>2021</v>
      </c>
      <c r="E32" s="44" t="s">
        <v>192</v>
      </c>
      <c r="F32" s="8" t="s">
        <v>193</v>
      </c>
      <c r="G32" s="104">
        <v>44426</v>
      </c>
      <c r="H32" s="73">
        <v>46203</v>
      </c>
      <c r="I32" s="8" t="s">
        <v>194</v>
      </c>
      <c r="J32" s="78">
        <v>17541</v>
      </c>
      <c r="K32" s="105" t="s">
        <v>195</v>
      </c>
      <c r="L32" s="45" t="s">
        <v>39</v>
      </c>
      <c r="M32" s="45" t="s">
        <v>126</v>
      </c>
      <c r="N32" s="83" t="s">
        <v>196</v>
      </c>
      <c r="O32" s="74" t="s">
        <v>42</v>
      </c>
      <c r="P32" s="49" t="s">
        <v>169</v>
      </c>
      <c r="Q32" s="74" t="s">
        <v>170</v>
      </c>
      <c r="R32" s="88" t="s">
        <v>169</v>
      </c>
      <c r="S32" s="84">
        <v>0.58320000000000005</v>
      </c>
      <c r="T32" s="84"/>
      <c r="U32" s="89">
        <v>4268347319</v>
      </c>
      <c r="V32" s="89"/>
      <c r="W32" s="53">
        <f>PROYECTOS_DIH[[#This Row],[VALOR DESEMBOLSOS PROYECTO]]/PROYECTOS_DIH[[#This Row],[Valor Proyecto Inicial.]]</f>
        <v>0</v>
      </c>
      <c r="X32" s="54">
        <v>0</v>
      </c>
      <c r="Y32" s="54" t="s">
        <v>1171</v>
      </c>
      <c r="Z32" s="86">
        <v>0</v>
      </c>
      <c r="AA32" s="90" t="s">
        <v>197</v>
      </c>
      <c r="AB32" s="5" t="s">
        <v>1156</v>
      </c>
      <c r="AC32" s="56" t="s">
        <v>96</v>
      </c>
      <c r="AD32" s="59">
        <v>5.3832805940000004</v>
      </c>
      <c r="AE32" s="59">
        <v>-75.160298519999998</v>
      </c>
      <c r="AF32" s="5" t="s">
        <v>198</v>
      </c>
      <c r="AG32" s="60" t="s">
        <v>49</v>
      </c>
    </row>
    <row r="33" spans="1:36" s="42" customFormat="1" ht="11.4" customHeight="1" x14ac:dyDescent="0.3">
      <c r="A33" s="3" t="s">
        <v>50</v>
      </c>
      <c r="B33" s="43">
        <v>21</v>
      </c>
      <c r="C33" s="94">
        <v>11818</v>
      </c>
      <c r="D33" s="44">
        <v>2022</v>
      </c>
      <c r="E33" s="44" t="s">
        <v>199</v>
      </c>
      <c r="F33" s="8" t="s">
        <v>200</v>
      </c>
      <c r="G33" s="104">
        <v>44827</v>
      </c>
      <c r="H33" s="73">
        <v>46292</v>
      </c>
      <c r="I33" s="4" t="s">
        <v>201</v>
      </c>
      <c r="J33" s="63">
        <v>13549</v>
      </c>
      <c r="K33" s="105" t="s">
        <v>202</v>
      </c>
      <c r="L33" s="45" t="s">
        <v>39</v>
      </c>
      <c r="M33" s="45" t="s">
        <v>126</v>
      </c>
      <c r="N33" s="83" t="s">
        <v>203</v>
      </c>
      <c r="O33" s="45" t="s">
        <v>42</v>
      </c>
      <c r="P33" s="49" t="s">
        <v>169</v>
      </c>
      <c r="Q33" s="74" t="s">
        <v>170</v>
      </c>
      <c r="R33" s="88" t="s">
        <v>169</v>
      </c>
      <c r="S33" s="84">
        <v>0.51400000000000001</v>
      </c>
      <c r="T33" s="84"/>
      <c r="U33" s="89">
        <v>3000000000</v>
      </c>
      <c r="V33" s="89"/>
      <c r="W33" s="53">
        <f>PROYECTOS_DIH[[#This Row],[VALOR DESEMBOLSOS PROYECTO]]/PROYECTOS_DIH[[#This Row],[Valor Proyecto Inicial.]]</f>
        <v>0</v>
      </c>
      <c r="X33" s="54">
        <v>0</v>
      </c>
      <c r="Y33" s="54" t="s">
        <v>1173</v>
      </c>
      <c r="Z33" s="86">
        <v>11000</v>
      </c>
      <c r="AA33" s="90" t="s">
        <v>204</v>
      </c>
      <c r="AB33" s="5" t="s">
        <v>1152</v>
      </c>
      <c r="AC33" s="56" t="s">
        <v>62</v>
      </c>
      <c r="AD33" s="59">
        <v>8.915452234</v>
      </c>
      <c r="AE33" s="59">
        <v>-74.462403539999997</v>
      </c>
      <c r="AF33" s="5" t="s">
        <v>205</v>
      </c>
      <c r="AG33" s="71" t="s">
        <v>64</v>
      </c>
    </row>
    <row r="34" spans="1:36" s="42" customFormat="1" ht="11.4" customHeight="1" x14ac:dyDescent="0.3">
      <c r="A34" s="6" t="s">
        <v>65</v>
      </c>
      <c r="B34" s="43">
        <v>22</v>
      </c>
      <c r="C34" s="94">
        <v>11852</v>
      </c>
      <c r="D34" s="44">
        <v>2021</v>
      </c>
      <c r="E34" s="44" t="s">
        <v>206</v>
      </c>
      <c r="F34" s="5" t="s">
        <v>207</v>
      </c>
      <c r="G34" s="11">
        <v>44512</v>
      </c>
      <c r="H34" s="13">
        <v>45838</v>
      </c>
      <c r="I34" s="5" t="s">
        <v>153</v>
      </c>
      <c r="J34" s="82">
        <v>15180</v>
      </c>
      <c r="K34" s="5" t="s">
        <v>208</v>
      </c>
      <c r="L34" s="8" t="s">
        <v>70</v>
      </c>
      <c r="M34" s="5" t="s">
        <v>71</v>
      </c>
      <c r="N34" s="45" t="s">
        <v>209</v>
      </c>
      <c r="O34" s="45" t="s">
        <v>57</v>
      </c>
      <c r="P34" s="45" t="s">
        <v>58</v>
      </c>
      <c r="Q34" s="45" t="s">
        <v>59</v>
      </c>
      <c r="R34" s="66" t="s">
        <v>60</v>
      </c>
      <c r="S34" s="58">
        <v>0.38</v>
      </c>
      <c r="T34" s="58"/>
      <c r="U34" s="91">
        <v>197347553</v>
      </c>
      <c r="V34" s="91"/>
      <c r="W34" s="53">
        <f>PROYECTOS_DIH[[#This Row],[VALOR DESEMBOLSOS PROYECTO]]/PROYECTOS_DIH[[#This Row],[Valor Proyecto Inicial.]]</f>
        <v>1</v>
      </c>
      <c r="X34" s="91">
        <v>197347553</v>
      </c>
      <c r="Y34" s="54" t="s">
        <v>1172</v>
      </c>
      <c r="Z34" s="92"/>
      <c r="AA34" s="57" t="s">
        <v>210</v>
      </c>
      <c r="AB34" s="5" t="s">
        <v>1160</v>
      </c>
      <c r="AC34" s="56" t="s">
        <v>62</v>
      </c>
      <c r="AD34" s="59">
        <v>6.554050428</v>
      </c>
      <c r="AE34" s="59">
        <v>-72.501835069999998</v>
      </c>
      <c r="AF34" s="5" t="s">
        <v>157</v>
      </c>
      <c r="AG34" s="103" t="s">
        <v>110</v>
      </c>
    </row>
    <row r="35" spans="1:36" s="42" customFormat="1" ht="11.4" customHeight="1" x14ac:dyDescent="0.3">
      <c r="A35" s="1" t="s">
        <v>34</v>
      </c>
      <c r="B35" s="43">
        <v>23</v>
      </c>
      <c r="C35" s="192">
        <v>11964</v>
      </c>
      <c r="D35" s="19">
        <v>2026</v>
      </c>
      <c r="E35" s="44" t="s">
        <v>35</v>
      </c>
      <c r="F35" s="45" t="s">
        <v>36</v>
      </c>
      <c r="G35" s="46">
        <v>45653</v>
      </c>
      <c r="H35" s="46">
        <v>46441</v>
      </c>
      <c r="I35" s="111" t="s">
        <v>189</v>
      </c>
      <c r="J35" s="48">
        <v>5649</v>
      </c>
      <c r="K35" s="111" t="s">
        <v>211</v>
      </c>
      <c r="L35" s="112" t="s">
        <v>39</v>
      </c>
      <c r="M35" s="111" t="s">
        <v>212</v>
      </c>
      <c r="N35" s="111" t="s">
        <v>213</v>
      </c>
      <c r="O35" s="2" t="s">
        <v>42</v>
      </c>
      <c r="P35" s="49"/>
      <c r="Q35" s="45" t="s">
        <v>44</v>
      </c>
      <c r="R35" s="2" t="s">
        <v>214</v>
      </c>
      <c r="S35" s="51">
        <v>0</v>
      </c>
      <c r="T35" s="51"/>
      <c r="U35" s="113">
        <v>5727515543.8900003</v>
      </c>
      <c r="V35" s="113"/>
      <c r="W35" s="79">
        <f>PROYECTOS_DIH[[#This Row],[VALOR DESEMBOLSOS PROYECTO]]/PROYECTOS_DIH[[#This Row],[Valor Proyecto Inicial.]]</f>
        <v>0</v>
      </c>
      <c r="X35" s="54">
        <v>0</v>
      </c>
      <c r="Y35" s="54" t="s">
        <v>1180</v>
      </c>
      <c r="Z35" s="92">
        <v>18041</v>
      </c>
      <c r="AA35" s="57" t="s">
        <v>215</v>
      </c>
      <c r="AB35" s="5" t="s">
        <v>1149</v>
      </c>
      <c r="AC35" s="56" t="s">
        <v>96</v>
      </c>
      <c r="AD35" s="59">
        <v>6.1879915690000002</v>
      </c>
      <c r="AE35" s="59">
        <v>-74.987952559999997</v>
      </c>
      <c r="AF35" s="5" t="s">
        <v>191</v>
      </c>
      <c r="AG35" s="110" t="s">
        <v>49</v>
      </c>
    </row>
    <row r="36" spans="1:36" s="42" customFormat="1" ht="11.4" customHeight="1" x14ac:dyDescent="0.3">
      <c r="A36" s="3" t="s">
        <v>50</v>
      </c>
      <c r="B36" s="43">
        <v>24</v>
      </c>
      <c r="C36" s="94">
        <v>11969</v>
      </c>
      <c r="D36" s="44">
        <v>2021</v>
      </c>
      <c r="E36" s="44" t="s">
        <v>216</v>
      </c>
      <c r="F36" s="8" t="s">
        <v>217</v>
      </c>
      <c r="G36" s="73">
        <v>44455</v>
      </c>
      <c r="H36" s="73">
        <v>46295</v>
      </c>
      <c r="I36" s="8" t="s">
        <v>53</v>
      </c>
      <c r="J36" s="78">
        <v>8137</v>
      </c>
      <c r="K36" s="8" t="s">
        <v>218</v>
      </c>
      <c r="L36" s="45" t="s">
        <v>39</v>
      </c>
      <c r="M36" s="45" t="s">
        <v>100</v>
      </c>
      <c r="N36" s="83" t="s">
        <v>219</v>
      </c>
      <c r="O36" s="74" t="s">
        <v>42</v>
      </c>
      <c r="P36" s="49" t="s">
        <v>58</v>
      </c>
      <c r="Q36" s="74" t="s">
        <v>59</v>
      </c>
      <c r="R36" s="88" t="s">
        <v>59</v>
      </c>
      <c r="S36" s="84">
        <v>1</v>
      </c>
      <c r="T36" s="84"/>
      <c r="U36" s="89">
        <v>4200516733</v>
      </c>
      <c r="V36" s="89"/>
      <c r="W36" s="53">
        <f>PROYECTOS_DIH[[#This Row],[VALOR DESEMBOLSOS PROYECTO]]/PROYECTOS_DIH[[#This Row],[Valor Proyecto Inicial.]]</f>
        <v>0</v>
      </c>
      <c r="X36" s="54">
        <v>0</v>
      </c>
      <c r="Y36" s="54" t="s">
        <v>1173</v>
      </c>
      <c r="Z36" s="86">
        <v>716</v>
      </c>
      <c r="AA36" s="90" t="s">
        <v>220</v>
      </c>
      <c r="AB36" s="5" t="s">
        <v>1134</v>
      </c>
      <c r="AC36" s="56" t="s">
        <v>62</v>
      </c>
      <c r="AD36" s="59">
        <v>10.379240129999999</v>
      </c>
      <c r="AE36" s="59">
        <v>-74.883151729999994</v>
      </c>
      <c r="AF36" s="5" t="s">
        <v>63</v>
      </c>
      <c r="AG36" s="71" t="s">
        <v>64</v>
      </c>
      <c r="AJ36" s="119"/>
    </row>
    <row r="37" spans="1:36" s="42" customFormat="1" ht="11.4" customHeight="1" x14ac:dyDescent="0.3">
      <c r="A37" s="3" t="s">
        <v>50</v>
      </c>
      <c r="B37" s="43">
        <v>26</v>
      </c>
      <c r="C37" s="94">
        <v>11977</v>
      </c>
      <c r="D37" s="44">
        <v>2021</v>
      </c>
      <c r="E37" s="44" t="s">
        <v>174</v>
      </c>
      <c r="F37" s="8" t="s">
        <v>229</v>
      </c>
      <c r="G37" s="73">
        <v>44512</v>
      </c>
      <c r="H37" s="73">
        <v>46295</v>
      </c>
      <c r="I37" s="4" t="s">
        <v>176</v>
      </c>
      <c r="J37" s="63">
        <v>54223</v>
      </c>
      <c r="K37" s="8" t="s">
        <v>177</v>
      </c>
      <c r="L37" s="8" t="s">
        <v>70</v>
      </c>
      <c r="M37" s="4" t="s">
        <v>71</v>
      </c>
      <c r="N37" s="64" t="s">
        <v>230</v>
      </c>
      <c r="O37" s="74" t="s">
        <v>42</v>
      </c>
      <c r="P37" s="49" t="s">
        <v>42</v>
      </c>
      <c r="Q37" s="49" t="s">
        <v>170</v>
      </c>
      <c r="R37" s="88" t="s">
        <v>231</v>
      </c>
      <c r="S37" s="67">
        <v>0.79</v>
      </c>
      <c r="T37" s="67"/>
      <c r="U37" s="52">
        <v>1903086941</v>
      </c>
      <c r="V37" s="52"/>
      <c r="W37" s="53">
        <f>PROYECTOS_DIH[[#This Row],[VALOR DESEMBOLSOS PROYECTO]]/PROYECTOS_DIH[[#This Row],[Valor Proyecto Inicial.]]</f>
        <v>0</v>
      </c>
      <c r="X37" s="54">
        <v>0</v>
      </c>
      <c r="Y37" s="54" t="s">
        <v>1172</v>
      </c>
      <c r="Z37" s="69">
        <v>76</v>
      </c>
      <c r="AA37" s="108" t="s">
        <v>232</v>
      </c>
      <c r="AB37" s="5" t="s">
        <v>1136</v>
      </c>
      <c r="AC37" s="56" t="s">
        <v>62</v>
      </c>
      <c r="AD37" s="59">
        <v>7.5389871370000003</v>
      </c>
      <c r="AE37" s="59">
        <v>-72.772571909999996</v>
      </c>
      <c r="AF37" s="5" t="s">
        <v>180</v>
      </c>
      <c r="AG37" s="93" t="s">
        <v>110</v>
      </c>
      <c r="AJ37" s="119"/>
    </row>
    <row r="38" spans="1:36" s="42" customFormat="1" ht="11.4" customHeight="1" x14ac:dyDescent="0.3">
      <c r="A38" s="3" t="s">
        <v>50</v>
      </c>
      <c r="B38" s="43">
        <v>28</v>
      </c>
      <c r="C38" s="94">
        <v>11985</v>
      </c>
      <c r="D38" s="44">
        <v>2021</v>
      </c>
      <c r="E38" s="44" t="s">
        <v>181</v>
      </c>
      <c r="F38" s="8" t="s">
        <v>235</v>
      </c>
      <c r="G38" s="73">
        <v>44406</v>
      </c>
      <c r="H38" s="73">
        <v>46367</v>
      </c>
      <c r="I38" s="4" t="s">
        <v>160</v>
      </c>
      <c r="J38" s="63">
        <v>73026</v>
      </c>
      <c r="K38" s="4" t="s">
        <v>236</v>
      </c>
      <c r="L38" s="8" t="s">
        <v>70</v>
      </c>
      <c r="M38" s="4" t="s">
        <v>71</v>
      </c>
      <c r="N38" s="64" t="s">
        <v>237</v>
      </c>
      <c r="O38" s="49" t="s">
        <v>42</v>
      </c>
      <c r="P38" s="49" t="s">
        <v>169</v>
      </c>
      <c r="Q38" s="74" t="s">
        <v>170</v>
      </c>
      <c r="R38" s="75" t="s">
        <v>169</v>
      </c>
      <c r="S38" s="67">
        <v>0.76480000000000004</v>
      </c>
      <c r="T38" s="67"/>
      <c r="U38" s="52">
        <v>2140658294</v>
      </c>
      <c r="V38" s="52"/>
      <c r="W38" s="53">
        <f>PROYECTOS_DIH[[#This Row],[VALOR DESEMBOLSOS PROYECTO]]/PROYECTOS_DIH[[#This Row],[Valor Proyecto Inicial.]]</f>
        <v>0</v>
      </c>
      <c r="X38" s="54">
        <v>0</v>
      </c>
      <c r="Y38" s="54" t="s">
        <v>1175</v>
      </c>
      <c r="Z38" s="55">
        <v>8715</v>
      </c>
      <c r="AA38" s="108" t="s">
        <v>238</v>
      </c>
      <c r="AB38" s="5" t="s">
        <v>1146</v>
      </c>
      <c r="AC38" s="56" t="s">
        <v>96</v>
      </c>
      <c r="AD38" s="59">
        <v>4.5673435979999999</v>
      </c>
      <c r="AE38" s="59">
        <v>-74.953557140000001</v>
      </c>
      <c r="AF38" s="5" t="s">
        <v>163</v>
      </c>
      <c r="AG38" s="81" t="s">
        <v>80</v>
      </c>
      <c r="AJ38" s="119"/>
    </row>
    <row r="39" spans="1:36" s="99" customFormat="1" ht="11.4" customHeight="1" x14ac:dyDescent="0.3">
      <c r="A39" s="6" t="s">
        <v>65</v>
      </c>
      <c r="B39" s="43">
        <v>29</v>
      </c>
      <c r="C39" s="94">
        <v>11986</v>
      </c>
      <c r="D39" s="44">
        <v>2021</v>
      </c>
      <c r="E39" s="44" t="s">
        <v>86</v>
      </c>
      <c r="F39" s="8" t="s">
        <v>239</v>
      </c>
      <c r="G39" s="73">
        <v>44421</v>
      </c>
      <c r="H39" s="73">
        <v>46022</v>
      </c>
      <c r="I39" s="4" t="s">
        <v>88</v>
      </c>
      <c r="J39" s="63">
        <v>52621</v>
      </c>
      <c r="K39" s="96" t="s">
        <v>240</v>
      </c>
      <c r="L39" s="8" t="s">
        <v>70</v>
      </c>
      <c r="M39" s="4" t="s">
        <v>71</v>
      </c>
      <c r="N39" s="64" t="s">
        <v>241</v>
      </c>
      <c r="O39" s="49" t="s">
        <v>57</v>
      </c>
      <c r="P39" s="49" t="s">
        <v>58</v>
      </c>
      <c r="Q39" s="74" t="s">
        <v>59</v>
      </c>
      <c r="R39" s="66" t="s">
        <v>60</v>
      </c>
      <c r="S39" s="67">
        <v>0.9</v>
      </c>
      <c r="T39" s="67"/>
      <c r="U39" s="76">
        <v>3081602197</v>
      </c>
      <c r="V39" s="76"/>
      <c r="W39" s="53">
        <f>PROYECTOS_DIH[[#This Row],[VALOR DESEMBOLSOS PROYECTO]]/PROYECTOS_DIH[[#This Row],[Valor Proyecto Inicial.]]</f>
        <v>0</v>
      </c>
      <c r="X39" s="54">
        <v>0</v>
      </c>
      <c r="Y39" s="54" t="s">
        <v>1171</v>
      </c>
      <c r="Z39" s="69">
        <v>1457</v>
      </c>
      <c r="AA39" s="70" t="s">
        <v>73</v>
      </c>
      <c r="AB39" s="5" t="s">
        <v>1145</v>
      </c>
      <c r="AC39" s="56" t="s">
        <v>47</v>
      </c>
      <c r="AD39" s="59">
        <v>1.697744768</v>
      </c>
      <c r="AE39" s="59">
        <v>-78.245662519999996</v>
      </c>
      <c r="AF39" s="5" t="s">
        <v>91</v>
      </c>
      <c r="AG39" s="77" t="s">
        <v>75</v>
      </c>
      <c r="AJ39" s="121"/>
    </row>
    <row r="40" spans="1:36" s="99" customFormat="1" ht="11.4" customHeight="1" x14ac:dyDescent="0.3">
      <c r="A40" s="6" t="s">
        <v>65</v>
      </c>
      <c r="B40" s="43">
        <v>31</v>
      </c>
      <c r="C40" s="94">
        <v>11999</v>
      </c>
      <c r="D40" s="44">
        <v>2021</v>
      </c>
      <c r="E40" s="44" t="s">
        <v>181</v>
      </c>
      <c r="F40" s="5" t="s">
        <v>247</v>
      </c>
      <c r="G40" s="11">
        <v>44419</v>
      </c>
      <c r="H40" s="13">
        <v>45838</v>
      </c>
      <c r="I40" s="5" t="s">
        <v>160</v>
      </c>
      <c r="J40" s="82">
        <v>73624</v>
      </c>
      <c r="K40" s="5" t="s">
        <v>248</v>
      </c>
      <c r="L40" s="8" t="s">
        <v>70</v>
      </c>
      <c r="M40" s="5" t="s">
        <v>71</v>
      </c>
      <c r="N40" s="45" t="s">
        <v>249</v>
      </c>
      <c r="O40" s="45" t="s">
        <v>57</v>
      </c>
      <c r="P40" s="45" t="s">
        <v>58</v>
      </c>
      <c r="Q40" s="2" t="s">
        <v>59</v>
      </c>
      <c r="R40" s="66" t="s">
        <v>60</v>
      </c>
      <c r="S40" s="58">
        <v>0.5</v>
      </c>
      <c r="T40" s="58"/>
      <c r="U40" s="91">
        <v>1176183928</v>
      </c>
      <c r="V40" s="91"/>
      <c r="W40" s="53">
        <f>PROYECTOS_DIH[[#This Row],[VALOR DESEMBOLSOS PROYECTO]]/PROYECTOS_DIH[[#This Row],[Valor Proyecto Inicial.]]</f>
        <v>1</v>
      </c>
      <c r="X40" s="91">
        <v>1176183928</v>
      </c>
      <c r="Y40" s="54" t="s">
        <v>1175</v>
      </c>
      <c r="Z40" s="92"/>
      <c r="AA40" s="57" t="s">
        <v>250</v>
      </c>
      <c r="AB40" s="5" t="s">
        <v>1146</v>
      </c>
      <c r="AC40" s="56" t="s">
        <v>96</v>
      </c>
      <c r="AD40" s="59">
        <v>4.238932685</v>
      </c>
      <c r="AE40" s="59">
        <v>-75.240868300000002</v>
      </c>
      <c r="AF40" s="5" t="s">
        <v>163</v>
      </c>
      <c r="AG40" s="81" t="s">
        <v>80</v>
      </c>
      <c r="AJ40" s="121"/>
    </row>
    <row r="41" spans="1:36" s="99" customFormat="1" ht="11.4" customHeight="1" x14ac:dyDescent="0.3">
      <c r="A41" s="3" t="s">
        <v>50</v>
      </c>
      <c r="B41" s="43">
        <v>171</v>
      </c>
      <c r="C41" s="94">
        <v>12002</v>
      </c>
      <c r="D41" s="44">
        <v>2021</v>
      </c>
      <c r="E41" s="44" t="s">
        <v>181</v>
      </c>
      <c r="F41" s="8" t="s">
        <v>589</v>
      </c>
      <c r="G41" s="73">
        <v>44428</v>
      </c>
      <c r="H41" s="73">
        <v>46096</v>
      </c>
      <c r="I41" s="4" t="s">
        <v>160</v>
      </c>
      <c r="J41" s="63">
        <v>73275</v>
      </c>
      <c r="K41" s="4" t="s">
        <v>590</v>
      </c>
      <c r="L41" s="8" t="s">
        <v>70</v>
      </c>
      <c r="M41" s="4" t="s">
        <v>71</v>
      </c>
      <c r="N41" s="64" t="s">
        <v>591</v>
      </c>
      <c r="O41" s="49" t="s">
        <v>57</v>
      </c>
      <c r="P41" s="49" t="s">
        <v>58</v>
      </c>
      <c r="Q41" s="74" t="s">
        <v>78</v>
      </c>
      <c r="R41" s="75" t="s">
        <v>58</v>
      </c>
      <c r="S41" s="67">
        <v>1</v>
      </c>
      <c r="T41" s="67"/>
      <c r="U41" s="52">
        <v>3713634356</v>
      </c>
      <c r="V41" s="52"/>
      <c r="W41" s="53">
        <f>PROYECTOS_DIH[[#This Row],[VALOR DESEMBOLSOS PROYECTO]]/PROYECTOS_DIH[[#This Row],[Valor Proyecto Inicial.]]</f>
        <v>0</v>
      </c>
      <c r="X41" s="54">
        <v>0</v>
      </c>
      <c r="Y41" s="54" t="s">
        <v>1175</v>
      </c>
      <c r="Z41" s="69">
        <v>19968</v>
      </c>
      <c r="AA41" s="90" t="s">
        <v>592</v>
      </c>
      <c r="AB41" s="5" t="s">
        <v>1146</v>
      </c>
      <c r="AC41" s="56" t="s">
        <v>62</v>
      </c>
      <c r="AD41" s="59">
        <v>4.2763716499999997</v>
      </c>
      <c r="AE41" s="59">
        <v>-74.818767460000004</v>
      </c>
      <c r="AF41" s="5" t="s">
        <v>163</v>
      </c>
      <c r="AG41" s="81" t="s">
        <v>80</v>
      </c>
      <c r="AJ41" s="121"/>
    </row>
    <row r="42" spans="1:36" s="99" customFormat="1" ht="11.4" customHeight="1" x14ac:dyDescent="0.3">
      <c r="A42" s="1" t="s">
        <v>34</v>
      </c>
      <c r="B42" s="43">
        <v>32</v>
      </c>
      <c r="C42" s="192">
        <v>12050</v>
      </c>
      <c r="D42" s="19">
        <v>2026</v>
      </c>
      <c r="E42" s="44" t="s">
        <v>35</v>
      </c>
      <c r="F42" s="45" t="s">
        <v>36</v>
      </c>
      <c r="G42" s="46">
        <v>45653</v>
      </c>
      <c r="H42" s="46">
        <v>46441</v>
      </c>
      <c r="I42" s="111" t="s">
        <v>153</v>
      </c>
      <c r="J42" s="48">
        <v>15223</v>
      </c>
      <c r="K42" s="111" t="s">
        <v>251</v>
      </c>
      <c r="L42" s="112" t="s">
        <v>39</v>
      </c>
      <c r="M42" s="111" t="s">
        <v>212</v>
      </c>
      <c r="N42" s="111" t="s">
        <v>252</v>
      </c>
      <c r="O42" s="45" t="s">
        <v>42</v>
      </c>
      <c r="P42" s="49"/>
      <c r="Q42" s="45" t="s">
        <v>44</v>
      </c>
      <c r="R42" s="2" t="s">
        <v>214</v>
      </c>
      <c r="S42" s="51">
        <v>0</v>
      </c>
      <c r="T42" s="51"/>
      <c r="U42" s="113">
        <v>1780626861.48</v>
      </c>
      <c r="V42" s="113"/>
      <c r="W42" s="79">
        <f>PROYECTOS_DIH[[#This Row],[VALOR DESEMBOLSOS PROYECTO]]/PROYECTOS_DIH[[#This Row],[Valor Proyecto Inicial.]]</f>
        <v>0</v>
      </c>
      <c r="X42" s="54"/>
      <c r="Y42" s="54" t="s">
        <v>1180</v>
      </c>
      <c r="Z42" s="92">
        <v>13659</v>
      </c>
      <c r="AA42" s="57" t="s">
        <v>215</v>
      </c>
      <c r="AB42" s="5" t="s">
        <v>1160</v>
      </c>
      <c r="AC42" s="56" t="s">
        <v>62</v>
      </c>
      <c r="AD42" s="59">
        <v>7.000092875</v>
      </c>
      <c r="AE42" s="59">
        <v>-72.110687760000005</v>
      </c>
      <c r="AF42" s="5" t="s">
        <v>157</v>
      </c>
      <c r="AG42" s="103" t="s">
        <v>110</v>
      </c>
      <c r="AJ42" s="121"/>
    </row>
    <row r="43" spans="1:36" s="99" customFormat="1" ht="11.4" customHeight="1" x14ac:dyDescent="0.3">
      <c r="A43" s="6" t="s">
        <v>65</v>
      </c>
      <c r="B43" s="43">
        <v>33</v>
      </c>
      <c r="C43" s="94">
        <v>12178</v>
      </c>
      <c r="D43" s="44">
        <v>2021</v>
      </c>
      <c r="E43" s="44" t="s">
        <v>92</v>
      </c>
      <c r="F43" s="8" t="s">
        <v>253</v>
      </c>
      <c r="G43" s="73">
        <v>44391</v>
      </c>
      <c r="H43" s="73">
        <v>46387</v>
      </c>
      <c r="I43" s="47" t="s">
        <v>68</v>
      </c>
      <c r="J43" s="48">
        <v>76147</v>
      </c>
      <c r="K43" s="4" t="s">
        <v>254</v>
      </c>
      <c r="L43" s="8" t="s">
        <v>70</v>
      </c>
      <c r="M43" s="4" t="s">
        <v>71</v>
      </c>
      <c r="N43" s="64" t="s">
        <v>255</v>
      </c>
      <c r="O43" s="45" t="s">
        <v>42</v>
      </c>
      <c r="P43" s="49" t="s">
        <v>42</v>
      </c>
      <c r="Q43" s="74" t="s">
        <v>170</v>
      </c>
      <c r="R43" s="123" t="s">
        <v>42</v>
      </c>
      <c r="S43" s="67">
        <v>0.48060000000000003</v>
      </c>
      <c r="T43" s="67"/>
      <c r="U43" s="52">
        <v>10000000000</v>
      </c>
      <c r="V43" s="52"/>
      <c r="W43" s="53">
        <f>PROYECTOS_DIH[[#This Row],[VALOR DESEMBOLSOS PROYECTO]]/PROYECTOS_DIH[[#This Row],[Valor Proyecto Inicial.]]</f>
        <v>0</v>
      </c>
      <c r="X43" s="54">
        <v>0</v>
      </c>
      <c r="Y43" s="54" t="s">
        <v>1174</v>
      </c>
      <c r="Z43" s="69">
        <v>1942</v>
      </c>
      <c r="AA43" s="108" t="s">
        <v>256</v>
      </c>
      <c r="AB43" s="5" t="s">
        <v>1137</v>
      </c>
      <c r="AC43" s="56" t="s">
        <v>62</v>
      </c>
      <c r="AD43" s="59">
        <v>4.758755098</v>
      </c>
      <c r="AE43" s="59">
        <v>-75.942264039999998</v>
      </c>
      <c r="AF43" s="5" t="s">
        <v>74</v>
      </c>
      <c r="AG43" s="77" t="s">
        <v>75</v>
      </c>
      <c r="AJ43" s="121"/>
    </row>
    <row r="44" spans="1:36" s="99" customFormat="1" ht="11.4" customHeight="1" x14ac:dyDescent="0.3">
      <c r="A44" s="6" t="s">
        <v>65</v>
      </c>
      <c r="B44" s="43">
        <v>34</v>
      </c>
      <c r="C44" s="94">
        <v>12212</v>
      </c>
      <c r="D44" s="44">
        <v>2021</v>
      </c>
      <c r="E44" s="44" t="s">
        <v>86</v>
      </c>
      <c r="F44" s="8" t="s">
        <v>257</v>
      </c>
      <c r="G44" s="73">
        <v>44512</v>
      </c>
      <c r="H44" s="73">
        <v>46022</v>
      </c>
      <c r="I44" s="8" t="s">
        <v>88</v>
      </c>
      <c r="J44" s="78">
        <v>52079</v>
      </c>
      <c r="K44" s="8" t="s">
        <v>258</v>
      </c>
      <c r="L44" s="8" t="s">
        <v>70</v>
      </c>
      <c r="M44" s="8" t="s">
        <v>71</v>
      </c>
      <c r="N44" s="83" t="s">
        <v>259</v>
      </c>
      <c r="O44" s="49" t="s">
        <v>57</v>
      </c>
      <c r="P44" s="49" t="s">
        <v>58</v>
      </c>
      <c r="Q44" s="74" t="s">
        <v>59</v>
      </c>
      <c r="R44" s="66" t="s">
        <v>60</v>
      </c>
      <c r="S44" s="84">
        <v>0.30649999999999999</v>
      </c>
      <c r="T44" s="84"/>
      <c r="U44" s="85">
        <v>2749561823</v>
      </c>
      <c r="V44" s="85"/>
      <c r="W44" s="53">
        <f>PROYECTOS_DIH[[#This Row],[VALOR DESEMBOLSOS PROYECTO]]/PROYECTOS_DIH[[#This Row],[Valor Proyecto Inicial.]]</f>
        <v>0</v>
      </c>
      <c r="X44" s="54">
        <v>0</v>
      </c>
      <c r="Y44" s="54" t="s">
        <v>1171</v>
      </c>
      <c r="Z44" s="86">
        <v>16588</v>
      </c>
      <c r="AA44" s="70" t="s">
        <v>73</v>
      </c>
      <c r="AB44" s="5" t="s">
        <v>1145</v>
      </c>
      <c r="AC44" s="56" t="s">
        <v>47</v>
      </c>
      <c r="AD44" s="59">
        <v>1.670345194</v>
      </c>
      <c r="AE44" s="59">
        <v>-78.139894929999997</v>
      </c>
      <c r="AF44" s="5" t="s">
        <v>91</v>
      </c>
      <c r="AG44" s="77" t="s">
        <v>75</v>
      </c>
      <c r="AJ44" s="121"/>
    </row>
    <row r="45" spans="1:36" s="99" customFormat="1" ht="11.4" customHeight="1" x14ac:dyDescent="0.3">
      <c r="A45" s="3" t="s">
        <v>50</v>
      </c>
      <c r="B45" s="43">
        <v>35</v>
      </c>
      <c r="C45" s="94">
        <v>12225</v>
      </c>
      <c r="D45" s="44">
        <v>2021</v>
      </c>
      <c r="E45" s="44" t="s">
        <v>66</v>
      </c>
      <c r="F45" s="8" t="s">
        <v>260</v>
      </c>
      <c r="G45" s="73">
        <v>44531</v>
      </c>
      <c r="H45" s="73">
        <v>46022</v>
      </c>
      <c r="I45" s="8" t="s">
        <v>68</v>
      </c>
      <c r="J45" s="78">
        <v>76122</v>
      </c>
      <c r="K45" s="8" t="s">
        <v>261</v>
      </c>
      <c r="L45" s="45" t="s">
        <v>39</v>
      </c>
      <c r="M45" s="45" t="s">
        <v>100</v>
      </c>
      <c r="N45" s="83" t="s">
        <v>262</v>
      </c>
      <c r="O45" s="49" t="s">
        <v>57</v>
      </c>
      <c r="P45" s="49" t="s">
        <v>58</v>
      </c>
      <c r="Q45" s="65" t="s">
        <v>59</v>
      </c>
      <c r="R45" s="66" t="s">
        <v>60</v>
      </c>
      <c r="S45" s="84">
        <v>1</v>
      </c>
      <c r="T45" s="84"/>
      <c r="U45" s="124">
        <v>1923837149</v>
      </c>
      <c r="V45" s="124"/>
      <c r="W45" s="53">
        <f>PROYECTOS_DIH[[#This Row],[VALOR DESEMBOLSOS PROYECTO]]/PROYECTOS_DIH[[#This Row],[Valor Proyecto Inicial.]]</f>
        <v>0</v>
      </c>
      <c r="X45" s="54">
        <v>0</v>
      </c>
      <c r="Y45" s="54" t="s">
        <v>1174</v>
      </c>
      <c r="Z45" s="86">
        <v>1348</v>
      </c>
      <c r="AA45" s="90" t="s">
        <v>263</v>
      </c>
      <c r="AB45" s="5" t="s">
        <v>1137</v>
      </c>
      <c r="AC45" s="56" t="s">
        <v>96</v>
      </c>
      <c r="AD45" s="59">
        <v>4.3346096940000001</v>
      </c>
      <c r="AE45" s="59">
        <v>-75.830318050000002</v>
      </c>
      <c r="AF45" s="5" t="s">
        <v>74</v>
      </c>
      <c r="AG45" s="77" t="s">
        <v>75</v>
      </c>
      <c r="AJ45" s="121"/>
    </row>
    <row r="46" spans="1:36" s="99" customFormat="1" ht="11.4" customHeight="1" x14ac:dyDescent="0.3">
      <c r="A46" s="3" t="s">
        <v>50</v>
      </c>
      <c r="B46" s="43">
        <v>36</v>
      </c>
      <c r="C46" s="94">
        <v>12228</v>
      </c>
      <c r="D46" s="44">
        <v>2021</v>
      </c>
      <c r="E46" s="44" t="s">
        <v>66</v>
      </c>
      <c r="F46" s="8" t="s">
        <v>264</v>
      </c>
      <c r="G46" s="73">
        <v>44512</v>
      </c>
      <c r="H46" s="73">
        <v>46022</v>
      </c>
      <c r="I46" s="4" t="s">
        <v>68</v>
      </c>
      <c r="J46" s="63">
        <v>76122</v>
      </c>
      <c r="K46" s="8" t="s">
        <v>261</v>
      </c>
      <c r="L46" s="45" t="s">
        <v>39</v>
      </c>
      <c r="M46" s="45" t="s">
        <v>100</v>
      </c>
      <c r="N46" s="64" t="s">
        <v>265</v>
      </c>
      <c r="O46" s="49" t="s">
        <v>57</v>
      </c>
      <c r="P46" s="49" t="s">
        <v>58</v>
      </c>
      <c r="Q46" s="65" t="s">
        <v>59</v>
      </c>
      <c r="R46" s="66" t="s">
        <v>60</v>
      </c>
      <c r="S46" s="67">
        <v>0.71140000000000003</v>
      </c>
      <c r="T46" s="67"/>
      <c r="U46" s="68">
        <v>1991085586</v>
      </c>
      <c r="V46" s="68"/>
      <c r="W46" s="53">
        <f>PROYECTOS_DIH[[#This Row],[VALOR DESEMBOLSOS PROYECTO]]/PROYECTOS_DIH[[#This Row],[Valor Proyecto Inicial.]]</f>
        <v>0</v>
      </c>
      <c r="X46" s="54">
        <v>0</v>
      </c>
      <c r="Y46" s="54" t="s">
        <v>1174</v>
      </c>
      <c r="Z46" s="69">
        <v>2459</v>
      </c>
      <c r="AA46" s="108" t="s">
        <v>266</v>
      </c>
      <c r="AB46" s="5" t="s">
        <v>1137</v>
      </c>
      <c r="AC46" s="56" t="s">
        <v>96</v>
      </c>
      <c r="AD46" s="59">
        <v>4.3346096940000001</v>
      </c>
      <c r="AE46" s="59">
        <v>-75.830318050000002</v>
      </c>
      <c r="AF46" s="5" t="s">
        <v>74</v>
      </c>
      <c r="AG46" s="77" t="s">
        <v>75</v>
      </c>
      <c r="AJ46" s="121"/>
    </row>
    <row r="47" spans="1:36" s="99" customFormat="1" ht="11.4" customHeight="1" x14ac:dyDescent="0.3">
      <c r="A47" s="6" t="s">
        <v>65</v>
      </c>
      <c r="B47" s="43">
        <v>37</v>
      </c>
      <c r="C47" s="94">
        <v>12255</v>
      </c>
      <c r="D47" s="44">
        <v>2021</v>
      </c>
      <c r="E47" s="44" t="s">
        <v>92</v>
      </c>
      <c r="F47" s="8" t="s">
        <v>267</v>
      </c>
      <c r="G47" s="73">
        <v>44391</v>
      </c>
      <c r="H47" s="73">
        <v>46295</v>
      </c>
      <c r="I47" s="47" t="s">
        <v>268</v>
      </c>
      <c r="J47" s="48">
        <v>19212</v>
      </c>
      <c r="K47" s="4" t="s">
        <v>269</v>
      </c>
      <c r="L47" s="8" t="s">
        <v>70</v>
      </c>
      <c r="M47" s="4" t="s">
        <v>71</v>
      </c>
      <c r="N47" s="64" t="s">
        <v>270</v>
      </c>
      <c r="O47" s="74" t="s">
        <v>42</v>
      </c>
      <c r="P47" s="49" t="s">
        <v>42</v>
      </c>
      <c r="Q47" s="74" t="s">
        <v>170</v>
      </c>
      <c r="R47" s="75" t="s">
        <v>42</v>
      </c>
      <c r="S47" s="67">
        <v>0.70020000000000004</v>
      </c>
      <c r="T47" s="67"/>
      <c r="U47" s="52">
        <v>2696421973</v>
      </c>
      <c r="V47" s="52"/>
      <c r="W47" s="53">
        <f>PROYECTOS_DIH[[#This Row],[VALOR DESEMBOLSOS PROYECTO]]/PROYECTOS_DIH[[#This Row],[Valor Proyecto Inicial.]]</f>
        <v>0</v>
      </c>
      <c r="X47" s="54">
        <v>0</v>
      </c>
      <c r="Y47" s="54" t="s">
        <v>1171</v>
      </c>
      <c r="Z47" s="69">
        <v>1168</v>
      </c>
      <c r="AA47" s="108" t="s">
        <v>271</v>
      </c>
      <c r="AB47" s="5" t="s">
        <v>1138</v>
      </c>
      <c r="AC47" s="56" t="s">
        <v>47</v>
      </c>
      <c r="AD47" s="59">
        <v>3.1738154569999999</v>
      </c>
      <c r="AE47" s="59">
        <v>-76.261314189999993</v>
      </c>
      <c r="AF47" s="5" t="s">
        <v>272</v>
      </c>
      <c r="AG47" s="77" t="s">
        <v>75</v>
      </c>
      <c r="AJ47" s="121"/>
    </row>
    <row r="48" spans="1:36" s="99" customFormat="1" ht="11.4" customHeight="1" x14ac:dyDescent="0.3">
      <c r="A48" s="1" t="s">
        <v>34</v>
      </c>
      <c r="B48" s="43">
        <v>38</v>
      </c>
      <c r="C48" s="192">
        <v>12313</v>
      </c>
      <c r="D48" s="19">
        <v>2026</v>
      </c>
      <c r="E48" s="44" t="s">
        <v>35</v>
      </c>
      <c r="F48" s="45" t="s">
        <v>36</v>
      </c>
      <c r="G48" s="46">
        <v>45653</v>
      </c>
      <c r="H48" s="46">
        <v>46441</v>
      </c>
      <c r="I48" s="112" t="s">
        <v>153</v>
      </c>
      <c r="J48" s="48">
        <v>15466</v>
      </c>
      <c r="K48" s="112" t="s">
        <v>273</v>
      </c>
      <c r="L48" s="112" t="s">
        <v>39</v>
      </c>
      <c r="M48" s="112" t="s">
        <v>212</v>
      </c>
      <c r="N48" s="112" t="s">
        <v>274</v>
      </c>
      <c r="O48" s="45" t="s">
        <v>42</v>
      </c>
      <c r="P48" s="49"/>
      <c r="Q48" s="45" t="s">
        <v>44</v>
      </c>
      <c r="R48" s="125" t="s">
        <v>214</v>
      </c>
      <c r="S48" s="51">
        <v>0</v>
      </c>
      <c r="T48" s="51"/>
      <c r="U48" s="113">
        <v>4178005659.4200001</v>
      </c>
      <c r="V48" s="113"/>
      <c r="W48" s="79">
        <f>PROYECTOS_DIH[[#This Row],[VALOR DESEMBOLSOS PROYECTO]]/PROYECTOS_DIH[[#This Row],[Valor Proyecto Inicial.]]</f>
        <v>0</v>
      </c>
      <c r="X48" s="54"/>
      <c r="Y48" s="54" t="s">
        <v>1180</v>
      </c>
      <c r="Z48" s="55"/>
      <c r="AA48" s="57" t="s">
        <v>215</v>
      </c>
      <c r="AB48" s="5" t="s">
        <v>1160</v>
      </c>
      <c r="AC48" s="56" t="s">
        <v>62</v>
      </c>
      <c r="AD48" s="59">
        <v>5.7234040720000001</v>
      </c>
      <c r="AE48" s="59">
        <v>-72.849260009999995</v>
      </c>
      <c r="AF48" s="5" t="s">
        <v>157</v>
      </c>
      <c r="AG48" s="103" t="s">
        <v>110</v>
      </c>
      <c r="AJ48" s="121"/>
    </row>
    <row r="49" spans="1:36" s="99" customFormat="1" ht="11.4" customHeight="1" x14ac:dyDescent="0.3">
      <c r="A49" s="1" t="s">
        <v>34</v>
      </c>
      <c r="B49" s="43">
        <v>39</v>
      </c>
      <c r="C49" s="192">
        <v>12320</v>
      </c>
      <c r="D49" s="19">
        <v>2026</v>
      </c>
      <c r="E49" s="44" t="s">
        <v>35</v>
      </c>
      <c r="F49" s="45" t="s">
        <v>36</v>
      </c>
      <c r="G49" s="46">
        <v>45653</v>
      </c>
      <c r="H49" s="46">
        <v>46441</v>
      </c>
      <c r="I49" s="112" t="s">
        <v>201</v>
      </c>
      <c r="J49" s="48">
        <v>13667</v>
      </c>
      <c r="K49" s="112" t="s">
        <v>275</v>
      </c>
      <c r="L49" s="112" t="s">
        <v>70</v>
      </c>
      <c r="M49" s="45" t="s">
        <v>71</v>
      </c>
      <c r="N49" s="112" t="s">
        <v>276</v>
      </c>
      <c r="O49" s="45" t="s">
        <v>42</v>
      </c>
      <c r="P49" s="49"/>
      <c r="Q49" s="2" t="s">
        <v>44</v>
      </c>
      <c r="R49" s="2" t="s">
        <v>121</v>
      </c>
      <c r="S49" s="51">
        <v>0</v>
      </c>
      <c r="T49" s="51"/>
      <c r="U49" s="113">
        <v>4601217014.6800003</v>
      </c>
      <c r="V49" s="113"/>
      <c r="W49" s="79">
        <f>PROYECTOS_DIH[[#This Row],[VALOR DESEMBOLSOS PROYECTO]]/PROYECTOS_DIH[[#This Row],[Valor Proyecto Inicial.]]</f>
        <v>1</v>
      </c>
      <c r="X49" s="54">
        <v>4601217014.6800003</v>
      </c>
      <c r="Y49" s="54" t="s">
        <v>1180</v>
      </c>
      <c r="Z49" s="92">
        <v>11081</v>
      </c>
      <c r="AA49" s="57" t="s">
        <v>215</v>
      </c>
      <c r="AB49" s="5" t="s">
        <v>1152</v>
      </c>
      <c r="AC49" s="56" t="s">
        <v>62</v>
      </c>
      <c r="AD49" s="59">
        <v>8.9370908109999991</v>
      </c>
      <c r="AE49" s="59">
        <v>-74.03901175</v>
      </c>
      <c r="AF49" s="5" t="s">
        <v>205</v>
      </c>
      <c r="AG49" s="71" t="s">
        <v>64</v>
      </c>
      <c r="AJ49" s="121"/>
    </row>
    <row r="50" spans="1:36" s="99" customFormat="1" ht="11.4" customHeight="1" x14ac:dyDescent="0.3">
      <c r="A50" s="6" t="s">
        <v>65</v>
      </c>
      <c r="B50" s="43">
        <v>40</v>
      </c>
      <c r="C50" s="94">
        <v>12415</v>
      </c>
      <c r="D50" s="44">
        <v>2021</v>
      </c>
      <c r="E50" s="44" t="s">
        <v>115</v>
      </c>
      <c r="F50" s="4" t="s">
        <v>277</v>
      </c>
      <c r="G50" s="62">
        <v>44523</v>
      </c>
      <c r="H50" s="62">
        <v>46022</v>
      </c>
      <c r="I50" s="47" t="s">
        <v>68</v>
      </c>
      <c r="J50" s="48">
        <v>76823</v>
      </c>
      <c r="K50" s="4" t="s">
        <v>278</v>
      </c>
      <c r="L50" s="8" t="s">
        <v>70</v>
      </c>
      <c r="M50" s="4" t="s">
        <v>71</v>
      </c>
      <c r="N50" s="64" t="s">
        <v>279</v>
      </c>
      <c r="O50" s="49" t="s">
        <v>57</v>
      </c>
      <c r="P50" s="49" t="s">
        <v>58</v>
      </c>
      <c r="Q50" s="74" t="s">
        <v>59</v>
      </c>
      <c r="R50" s="75" t="s">
        <v>60</v>
      </c>
      <c r="S50" s="53">
        <v>0.34499999999999997</v>
      </c>
      <c r="T50" s="53"/>
      <c r="U50" s="76">
        <v>4027165469</v>
      </c>
      <c r="V50" s="76"/>
      <c r="W50" s="53">
        <f>PROYECTOS_DIH[[#This Row],[VALOR DESEMBOLSOS PROYECTO]]/PROYECTOS_DIH[[#This Row],[Valor Proyecto Inicial.]]</f>
        <v>0</v>
      </c>
      <c r="X50" s="54">
        <v>0</v>
      </c>
      <c r="Y50" s="54" t="s">
        <v>1174</v>
      </c>
      <c r="Z50" s="69">
        <v>3012</v>
      </c>
      <c r="AA50" s="70" t="s">
        <v>73</v>
      </c>
      <c r="AB50" s="5" t="s">
        <v>1137</v>
      </c>
      <c r="AC50" s="56" t="s">
        <v>62</v>
      </c>
      <c r="AD50" s="59">
        <v>4.6080845459999997</v>
      </c>
      <c r="AE50" s="59">
        <v>-76.076853499999999</v>
      </c>
      <c r="AF50" s="5" t="s">
        <v>74</v>
      </c>
      <c r="AG50" s="77" t="s">
        <v>75</v>
      </c>
      <c r="AJ50" s="121"/>
    </row>
    <row r="51" spans="1:36" s="99" customFormat="1" ht="11.4" customHeight="1" x14ac:dyDescent="0.3">
      <c r="A51" s="3" t="s">
        <v>50</v>
      </c>
      <c r="B51" s="43">
        <v>42</v>
      </c>
      <c r="C51" s="94">
        <v>12446</v>
      </c>
      <c r="D51" s="44">
        <v>2021</v>
      </c>
      <c r="E51" s="44" t="s">
        <v>92</v>
      </c>
      <c r="F51" s="4" t="s">
        <v>282</v>
      </c>
      <c r="G51" s="62">
        <v>44512</v>
      </c>
      <c r="H51" s="62">
        <v>46022</v>
      </c>
      <c r="I51" s="47" t="s">
        <v>268</v>
      </c>
      <c r="J51" s="48">
        <v>19100</v>
      </c>
      <c r="K51" s="96" t="s">
        <v>201</v>
      </c>
      <c r="L51" s="8" t="s">
        <v>70</v>
      </c>
      <c r="M51" s="4" t="s">
        <v>71</v>
      </c>
      <c r="N51" s="64" t="s">
        <v>283</v>
      </c>
      <c r="O51" s="49" t="s">
        <v>57</v>
      </c>
      <c r="P51" s="49" t="s">
        <v>58</v>
      </c>
      <c r="Q51" s="49" t="s">
        <v>59</v>
      </c>
      <c r="R51" s="75" t="s">
        <v>58</v>
      </c>
      <c r="S51" s="67">
        <v>1</v>
      </c>
      <c r="T51" s="67"/>
      <c r="U51" s="52">
        <v>5298858477</v>
      </c>
      <c r="V51" s="52"/>
      <c r="W51" s="53">
        <f>PROYECTOS_DIH[[#This Row],[VALOR DESEMBOLSOS PROYECTO]]/PROYECTOS_DIH[[#This Row],[Valor Proyecto Inicial.]]</f>
        <v>0</v>
      </c>
      <c r="X51" s="54">
        <v>0</v>
      </c>
      <c r="Y51" s="54" t="s">
        <v>1171</v>
      </c>
      <c r="Z51" s="69">
        <v>39504</v>
      </c>
      <c r="AA51" s="108" t="s">
        <v>284</v>
      </c>
      <c r="AB51" s="5" t="s">
        <v>1138</v>
      </c>
      <c r="AC51" s="56" t="s">
        <v>62</v>
      </c>
      <c r="AD51" s="59">
        <v>1.8374164040000001</v>
      </c>
      <c r="AE51" s="59">
        <v>-76.966312040000005</v>
      </c>
      <c r="AF51" s="5" t="s">
        <v>272</v>
      </c>
      <c r="AG51" s="77" t="s">
        <v>75</v>
      </c>
      <c r="AJ51" s="121"/>
    </row>
    <row r="52" spans="1:36" s="99" customFormat="1" ht="11.4" customHeight="1" x14ac:dyDescent="0.3">
      <c r="A52" s="6" t="s">
        <v>65</v>
      </c>
      <c r="B52" s="43">
        <v>44</v>
      </c>
      <c r="C52" s="94">
        <v>12582</v>
      </c>
      <c r="D52" s="44">
        <v>2021</v>
      </c>
      <c r="E52" s="44" t="s">
        <v>289</v>
      </c>
      <c r="F52" s="5" t="s">
        <v>290</v>
      </c>
      <c r="G52" s="11">
        <v>44406</v>
      </c>
      <c r="H52" s="13">
        <v>45107.407280092593</v>
      </c>
      <c r="I52" s="47" t="s">
        <v>68</v>
      </c>
      <c r="J52" s="48">
        <v>76126</v>
      </c>
      <c r="K52" s="5" t="s">
        <v>291</v>
      </c>
      <c r="L52" s="8" t="s">
        <v>70</v>
      </c>
      <c r="M52" s="5" t="s">
        <v>71</v>
      </c>
      <c r="N52" s="45" t="s">
        <v>292</v>
      </c>
      <c r="O52" s="45" t="s">
        <v>57</v>
      </c>
      <c r="P52" s="45" t="s">
        <v>58</v>
      </c>
      <c r="Q52" s="45" t="s">
        <v>59</v>
      </c>
      <c r="R52" s="66" t="s">
        <v>60</v>
      </c>
      <c r="S52" s="58">
        <v>0.3</v>
      </c>
      <c r="T52" s="58"/>
      <c r="U52" s="91">
        <v>1698997881</v>
      </c>
      <c r="V52" s="91"/>
      <c r="W52" s="53">
        <f>PROYECTOS_DIH[[#This Row],[VALOR DESEMBOLSOS PROYECTO]]/PROYECTOS_DIH[[#This Row],[Valor Proyecto Inicial.]]</f>
        <v>1</v>
      </c>
      <c r="X52" s="91">
        <v>1698997881</v>
      </c>
      <c r="Y52" s="54" t="s">
        <v>1174</v>
      </c>
      <c r="Z52" s="92"/>
      <c r="AA52" s="57" t="s">
        <v>293</v>
      </c>
      <c r="AB52" s="5" t="s">
        <v>1137</v>
      </c>
      <c r="AC52" s="56" t="s">
        <v>96</v>
      </c>
      <c r="AD52" s="59">
        <v>3.9335244629999999</v>
      </c>
      <c r="AE52" s="59">
        <v>-76.48439175</v>
      </c>
      <c r="AF52" s="5" t="s">
        <v>74</v>
      </c>
      <c r="AG52" s="77" t="s">
        <v>75</v>
      </c>
      <c r="AJ52" s="121"/>
    </row>
    <row r="53" spans="1:36" s="99" customFormat="1" ht="11.4" customHeight="1" x14ac:dyDescent="0.3">
      <c r="A53" s="3" t="s">
        <v>50</v>
      </c>
      <c r="B53" s="43">
        <v>45</v>
      </c>
      <c r="C53" s="94">
        <v>12817</v>
      </c>
      <c r="D53" s="44">
        <v>2021</v>
      </c>
      <c r="E53" s="44" t="s">
        <v>294</v>
      </c>
      <c r="F53" s="8" t="s">
        <v>295</v>
      </c>
      <c r="G53" s="104">
        <v>44481</v>
      </c>
      <c r="H53" s="73">
        <v>46245</v>
      </c>
      <c r="I53" s="4" t="s">
        <v>201</v>
      </c>
      <c r="J53" s="63">
        <v>13873</v>
      </c>
      <c r="K53" s="105" t="s">
        <v>296</v>
      </c>
      <c r="L53" s="45" t="s">
        <v>39</v>
      </c>
      <c r="M53" s="45" t="s">
        <v>126</v>
      </c>
      <c r="N53" s="64" t="s">
        <v>297</v>
      </c>
      <c r="O53" s="74" t="s">
        <v>57</v>
      </c>
      <c r="P53" s="49" t="s">
        <v>58</v>
      </c>
      <c r="Q53" s="74" t="s">
        <v>59</v>
      </c>
      <c r="R53" s="75" t="s">
        <v>298</v>
      </c>
      <c r="S53" s="67">
        <v>0.70860000000000001</v>
      </c>
      <c r="T53" s="67"/>
      <c r="U53" s="52">
        <v>3810562614</v>
      </c>
      <c r="V53" s="52"/>
      <c r="W53" s="53">
        <f>PROYECTOS_DIH[[#This Row],[VALOR DESEMBOLSOS PROYECTO]]/PROYECTOS_DIH[[#This Row],[Valor Proyecto Inicial.]]</f>
        <v>0</v>
      </c>
      <c r="X53" s="54">
        <v>0</v>
      </c>
      <c r="Y53" s="54" t="s">
        <v>1173</v>
      </c>
      <c r="Z53" s="69">
        <v>5159</v>
      </c>
      <c r="AA53" s="108" t="s">
        <v>299</v>
      </c>
      <c r="AB53" s="5" t="s">
        <v>1152</v>
      </c>
      <c r="AC53" s="56" t="s">
        <v>62</v>
      </c>
      <c r="AD53" s="59">
        <v>10.44449833</v>
      </c>
      <c r="AE53" s="59">
        <v>-75.274754389999998</v>
      </c>
      <c r="AF53" s="5" t="s">
        <v>205</v>
      </c>
      <c r="AG53" s="71" t="s">
        <v>64</v>
      </c>
      <c r="AJ53" s="121"/>
    </row>
    <row r="54" spans="1:36" s="99" customFormat="1" ht="11.4" customHeight="1" x14ac:dyDescent="0.3">
      <c r="A54" s="6" t="s">
        <v>65</v>
      </c>
      <c r="B54" s="43">
        <v>46</v>
      </c>
      <c r="C54" s="94">
        <v>12823</v>
      </c>
      <c r="D54" s="44">
        <v>2021</v>
      </c>
      <c r="E54" s="44" t="s">
        <v>115</v>
      </c>
      <c r="F54" s="8" t="s">
        <v>301</v>
      </c>
      <c r="G54" s="73">
        <v>44517</v>
      </c>
      <c r="H54" s="73">
        <v>46022</v>
      </c>
      <c r="I54" s="8" t="s">
        <v>68</v>
      </c>
      <c r="J54" s="78">
        <v>76020</v>
      </c>
      <c r="K54" s="5" t="s">
        <v>117</v>
      </c>
      <c r="L54" s="8" t="s">
        <v>70</v>
      </c>
      <c r="M54" s="8" t="s">
        <v>71</v>
      </c>
      <c r="N54" s="83" t="s">
        <v>302</v>
      </c>
      <c r="O54" s="49" t="s">
        <v>57</v>
      </c>
      <c r="P54" s="49" t="s">
        <v>58</v>
      </c>
      <c r="Q54" s="74" t="s">
        <v>59</v>
      </c>
      <c r="R54" s="66" t="s">
        <v>60</v>
      </c>
      <c r="S54" s="87">
        <v>0.50009999999999999</v>
      </c>
      <c r="T54" s="87"/>
      <c r="U54" s="85">
        <v>2909136602</v>
      </c>
      <c r="V54" s="85"/>
      <c r="W54" s="53">
        <f>PROYECTOS_DIH[[#This Row],[VALOR DESEMBOLSOS PROYECTO]]/PROYECTOS_DIH[[#This Row],[Valor Proyecto Inicial.]]</f>
        <v>0</v>
      </c>
      <c r="X54" s="54">
        <v>0</v>
      </c>
      <c r="Y54" s="54" t="s">
        <v>1174</v>
      </c>
      <c r="Z54" s="86">
        <v>10577</v>
      </c>
      <c r="AA54" s="70" t="s">
        <v>73</v>
      </c>
      <c r="AB54" s="5" t="s">
        <v>1137</v>
      </c>
      <c r="AC54" s="56" t="s">
        <v>62</v>
      </c>
      <c r="AD54" s="59">
        <v>4.6749895419999996</v>
      </c>
      <c r="AE54" s="59">
        <v>-75.779813869999998</v>
      </c>
      <c r="AF54" s="5" t="s">
        <v>74</v>
      </c>
      <c r="AG54" s="77" t="s">
        <v>75</v>
      </c>
      <c r="AJ54" s="121"/>
    </row>
    <row r="55" spans="1:36" s="99" customFormat="1" ht="11.4" customHeight="1" x14ac:dyDescent="0.3">
      <c r="A55" s="3" t="s">
        <v>50</v>
      </c>
      <c r="B55" s="43">
        <v>47</v>
      </c>
      <c r="C55" s="94">
        <v>12831</v>
      </c>
      <c r="D55" s="44">
        <v>2022</v>
      </c>
      <c r="E55" s="44" t="s">
        <v>303</v>
      </c>
      <c r="F55" s="8" t="s">
        <v>304</v>
      </c>
      <c r="G55" s="73">
        <v>44795</v>
      </c>
      <c r="H55" s="73">
        <v>46022</v>
      </c>
      <c r="I55" s="8" t="s">
        <v>105</v>
      </c>
      <c r="J55" s="78">
        <v>68179</v>
      </c>
      <c r="K55" s="96" t="s">
        <v>305</v>
      </c>
      <c r="L55" s="45" t="s">
        <v>39</v>
      </c>
      <c r="M55" s="45" t="s">
        <v>126</v>
      </c>
      <c r="N55" s="83" t="s">
        <v>306</v>
      </c>
      <c r="O55" s="49" t="s">
        <v>57</v>
      </c>
      <c r="P55" s="49" t="s">
        <v>58</v>
      </c>
      <c r="Q55" s="65" t="s">
        <v>59</v>
      </c>
      <c r="R55" s="66" t="s">
        <v>60</v>
      </c>
      <c r="S55" s="84">
        <v>0.70979999999999999</v>
      </c>
      <c r="T55" s="84"/>
      <c r="U55" s="124">
        <v>2000000000</v>
      </c>
      <c r="V55" s="124"/>
      <c r="W55" s="53">
        <f>PROYECTOS_DIH[[#This Row],[VALOR DESEMBOLSOS PROYECTO]]/PROYECTOS_DIH[[#This Row],[Valor Proyecto Inicial.]]</f>
        <v>0</v>
      </c>
      <c r="X55" s="54">
        <v>0</v>
      </c>
      <c r="Y55" s="54" t="s">
        <v>1172</v>
      </c>
      <c r="Z55" s="86">
        <v>2500</v>
      </c>
      <c r="AA55" s="107" t="s">
        <v>61</v>
      </c>
      <c r="AB55" s="5" t="s">
        <v>1154</v>
      </c>
      <c r="AC55" s="56" t="s">
        <v>62</v>
      </c>
      <c r="AD55" s="59">
        <v>6.0625209040000003</v>
      </c>
      <c r="AE55" s="59">
        <v>-73.637110640000003</v>
      </c>
      <c r="AF55" s="5" t="s">
        <v>109</v>
      </c>
      <c r="AG55" s="126" t="s">
        <v>110</v>
      </c>
      <c r="AJ55" s="121"/>
    </row>
    <row r="56" spans="1:36" s="99" customFormat="1" ht="11.4" customHeight="1" x14ac:dyDescent="0.3">
      <c r="A56" s="9" t="s">
        <v>307</v>
      </c>
      <c r="B56" s="43">
        <v>48</v>
      </c>
      <c r="C56" s="94">
        <v>14464</v>
      </c>
      <c r="D56" s="44">
        <v>2012</v>
      </c>
      <c r="E56" s="44" t="s">
        <v>308</v>
      </c>
      <c r="F56" s="45" t="s">
        <v>309</v>
      </c>
      <c r="G56" s="46">
        <v>41271</v>
      </c>
      <c r="H56" s="46">
        <v>46538</v>
      </c>
      <c r="I56" s="45" t="s">
        <v>141</v>
      </c>
      <c r="J56" s="98">
        <v>23580</v>
      </c>
      <c r="K56" s="97" t="s">
        <v>310</v>
      </c>
      <c r="L56" s="45" t="s">
        <v>55</v>
      </c>
      <c r="M56" s="45" t="s">
        <v>311</v>
      </c>
      <c r="N56" s="45" t="s">
        <v>312</v>
      </c>
      <c r="O56" s="49" t="s">
        <v>42</v>
      </c>
      <c r="P56" s="49" t="s">
        <v>58</v>
      </c>
      <c r="Q56" s="49" t="s">
        <v>59</v>
      </c>
      <c r="R56" s="50" t="s">
        <v>58</v>
      </c>
      <c r="S56" s="51">
        <v>0.99</v>
      </c>
      <c r="T56" s="51"/>
      <c r="U56" s="113">
        <v>15076298591</v>
      </c>
      <c r="V56" s="113"/>
      <c r="W56" s="53">
        <f>PROYECTOS_DIH[[#This Row],[VALOR DESEMBOLSOS PROYECTO]]/PROYECTOS_DIH[[#This Row],[Valor Proyecto Inicial.]]</f>
        <v>0</v>
      </c>
      <c r="X56" s="54">
        <v>0</v>
      </c>
      <c r="Y56" s="54" t="s">
        <v>1180</v>
      </c>
      <c r="Z56" s="55">
        <v>19500</v>
      </c>
      <c r="AA56" s="57" t="s">
        <v>313</v>
      </c>
      <c r="AB56" s="5" t="s">
        <v>1142</v>
      </c>
      <c r="AC56" s="56" t="s">
        <v>47</v>
      </c>
      <c r="AD56" s="59">
        <v>7.8888348150000001</v>
      </c>
      <c r="AE56" s="59">
        <v>-75.671799750000005</v>
      </c>
      <c r="AF56" s="5" t="s">
        <v>145</v>
      </c>
      <c r="AG56" s="71" t="s">
        <v>64</v>
      </c>
      <c r="AJ56" s="121"/>
    </row>
    <row r="57" spans="1:36" s="99" customFormat="1" ht="11.4" customHeight="1" x14ac:dyDescent="0.3">
      <c r="A57" s="9" t="s">
        <v>307</v>
      </c>
      <c r="B57" s="43">
        <v>284</v>
      </c>
      <c r="C57" s="94">
        <v>15440</v>
      </c>
      <c r="D57" s="44">
        <v>2012</v>
      </c>
      <c r="E57" s="44" t="s">
        <v>308</v>
      </c>
      <c r="F57" s="45" t="s">
        <v>309</v>
      </c>
      <c r="G57" s="46">
        <v>41271</v>
      </c>
      <c r="H57" s="46">
        <v>46538</v>
      </c>
      <c r="I57" s="45" t="s">
        <v>943</v>
      </c>
      <c r="J57" s="98">
        <v>88001</v>
      </c>
      <c r="K57" s="45" t="s">
        <v>944</v>
      </c>
      <c r="L57" s="45" t="s">
        <v>55</v>
      </c>
      <c r="M57" s="45" t="s">
        <v>775</v>
      </c>
      <c r="N57" s="45" t="s">
        <v>945</v>
      </c>
      <c r="O57" s="49" t="s">
        <v>42</v>
      </c>
      <c r="P57" s="49" t="s">
        <v>58</v>
      </c>
      <c r="Q57" s="65" t="s">
        <v>78</v>
      </c>
      <c r="R57" s="50" t="s">
        <v>58</v>
      </c>
      <c r="S57" s="51">
        <v>1</v>
      </c>
      <c r="T57" s="51"/>
      <c r="U57" s="132">
        <v>6768428210.3599997</v>
      </c>
      <c r="V57" s="132"/>
      <c r="W57" s="53">
        <f>PROYECTOS_DIH[[#This Row],[VALOR DESEMBOLSOS PROYECTO]]/PROYECTOS_DIH[[#This Row],[Valor Proyecto Inicial.]]</f>
        <v>0</v>
      </c>
      <c r="X57" s="54">
        <v>0</v>
      </c>
      <c r="Y57" s="54" t="s">
        <v>1180</v>
      </c>
      <c r="Z57" s="55">
        <v>1408</v>
      </c>
      <c r="AA57" s="57" t="s">
        <v>946</v>
      </c>
      <c r="AB57" s="5" t="s">
        <v>1148</v>
      </c>
      <c r="AC57" s="56" t="s">
        <v>62</v>
      </c>
      <c r="AD57" s="59">
        <v>12.58301369</v>
      </c>
      <c r="AE57" s="59">
        <v>-81.696062979999994</v>
      </c>
      <c r="AF57" s="5" t="s">
        <v>947</v>
      </c>
      <c r="AG57" s="71" t="s">
        <v>64</v>
      </c>
      <c r="AJ57" s="121"/>
    </row>
    <row r="58" spans="1:36" s="99" customFormat="1" ht="11.4" customHeight="1" x14ac:dyDescent="0.3">
      <c r="A58" s="3" t="s">
        <v>50</v>
      </c>
      <c r="B58" s="43">
        <v>49</v>
      </c>
      <c r="C58" s="94">
        <v>15701</v>
      </c>
      <c r="D58" s="44">
        <v>2022</v>
      </c>
      <c r="E58" s="44" t="s">
        <v>206</v>
      </c>
      <c r="F58" s="8" t="s">
        <v>314</v>
      </c>
      <c r="G58" s="73">
        <v>44782</v>
      </c>
      <c r="H58" s="73">
        <v>46264</v>
      </c>
      <c r="I58" s="45" t="s">
        <v>141</v>
      </c>
      <c r="J58" s="98">
        <v>23001</v>
      </c>
      <c r="K58" s="96" t="s">
        <v>315</v>
      </c>
      <c r="L58" s="45" t="s">
        <v>39</v>
      </c>
      <c r="M58" s="45" t="s">
        <v>100</v>
      </c>
      <c r="N58" s="83" t="s">
        <v>316</v>
      </c>
      <c r="O58" s="45" t="s">
        <v>42</v>
      </c>
      <c r="P58" s="45" t="s">
        <v>42</v>
      </c>
      <c r="Q58" s="74" t="s">
        <v>170</v>
      </c>
      <c r="R58" s="88" t="s">
        <v>231</v>
      </c>
      <c r="S58" s="84">
        <v>0.80210000000000004</v>
      </c>
      <c r="T58" s="84"/>
      <c r="U58" s="89">
        <v>8218112132</v>
      </c>
      <c r="V58" s="89"/>
      <c r="W58" s="53">
        <f>PROYECTOS_DIH[[#This Row],[VALOR DESEMBOLSOS PROYECTO]]/PROYECTOS_DIH[[#This Row],[Valor Proyecto Inicial.]]</f>
        <v>0</v>
      </c>
      <c r="X58" s="54">
        <v>0</v>
      </c>
      <c r="Y58" s="54" t="s">
        <v>1173</v>
      </c>
      <c r="Z58" s="55">
        <v>7431</v>
      </c>
      <c r="AA58" s="90" t="s">
        <v>317</v>
      </c>
      <c r="AB58" s="5" t="s">
        <v>1142</v>
      </c>
      <c r="AC58" s="56" t="s">
        <v>62</v>
      </c>
      <c r="AD58" s="59">
        <v>8.7451325910000008</v>
      </c>
      <c r="AE58" s="59">
        <v>-75.875577910000004</v>
      </c>
      <c r="AF58" s="5" t="s">
        <v>145</v>
      </c>
      <c r="AG58" s="71" t="s">
        <v>64</v>
      </c>
      <c r="AJ58" s="121"/>
    </row>
    <row r="59" spans="1:36" s="99" customFormat="1" ht="11.4" customHeight="1" x14ac:dyDescent="0.3">
      <c r="A59" s="3" t="s">
        <v>50</v>
      </c>
      <c r="B59" s="43">
        <v>88</v>
      </c>
      <c r="C59" s="94">
        <v>15769</v>
      </c>
      <c r="D59" s="44">
        <v>2021</v>
      </c>
      <c r="E59" s="44" t="s">
        <v>86</v>
      </c>
      <c r="F59" s="4" t="s">
        <v>421</v>
      </c>
      <c r="G59" s="62">
        <v>44512</v>
      </c>
      <c r="H59" s="62">
        <v>46022</v>
      </c>
      <c r="I59" s="4" t="s">
        <v>88</v>
      </c>
      <c r="J59" s="63">
        <v>52835</v>
      </c>
      <c r="K59" s="96" t="s">
        <v>422</v>
      </c>
      <c r="L59" s="45" t="s">
        <v>39</v>
      </c>
      <c r="M59" s="4" t="s">
        <v>423</v>
      </c>
      <c r="N59" s="4" t="s">
        <v>424</v>
      </c>
      <c r="O59" s="49" t="s">
        <v>57</v>
      </c>
      <c r="P59" s="49" t="s">
        <v>58</v>
      </c>
      <c r="Q59" s="130" t="s">
        <v>78</v>
      </c>
      <c r="R59" s="66" t="s">
        <v>425</v>
      </c>
      <c r="S59" s="67">
        <v>0</v>
      </c>
      <c r="T59" s="67"/>
      <c r="U59" s="76">
        <v>522201394</v>
      </c>
      <c r="V59" s="76"/>
      <c r="W59" s="53">
        <f>PROYECTOS_DIH[[#This Row],[VALOR DESEMBOLSOS PROYECTO]]/PROYECTOS_DIH[[#This Row],[Valor Proyecto Inicial.]]</f>
        <v>0</v>
      </c>
      <c r="X59" s="54">
        <v>0</v>
      </c>
      <c r="Y59" s="54" t="s">
        <v>1171</v>
      </c>
      <c r="Z59" s="69"/>
      <c r="AA59" s="70" t="s">
        <v>61</v>
      </c>
      <c r="AB59" s="5" t="s">
        <v>1145</v>
      </c>
      <c r="AC59" s="56" t="s">
        <v>47</v>
      </c>
      <c r="AD59" s="59">
        <v>1.8071172499999999</v>
      </c>
      <c r="AE59" s="59">
        <v>-78.76385415</v>
      </c>
      <c r="AF59" s="5" t="s">
        <v>91</v>
      </c>
      <c r="AG59" s="77" t="s">
        <v>75</v>
      </c>
      <c r="AJ59" s="121"/>
    </row>
    <row r="60" spans="1:36" s="99" customFormat="1" ht="11.4" customHeight="1" x14ac:dyDescent="0.3">
      <c r="A60" s="3" t="s">
        <v>50</v>
      </c>
      <c r="B60" s="43">
        <v>50</v>
      </c>
      <c r="C60" s="94">
        <v>15941</v>
      </c>
      <c r="D60" s="44">
        <v>2022</v>
      </c>
      <c r="E60" s="44" t="s">
        <v>318</v>
      </c>
      <c r="F60" s="8" t="s">
        <v>319</v>
      </c>
      <c r="G60" s="62">
        <v>44791</v>
      </c>
      <c r="H60" s="62">
        <v>46022</v>
      </c>
      <c r="I60" s="4" t="s">
        <v>149</v>
      </c>
      <c r="J60" s="63">
        <v>47268</v>
      </c>
      <c r="K60" s="96" t="s">
        <v>320</v>
      </c>
      <c r="L60" s="45" t="s">
        <v>39</v>
      </c>
      <c r="M60" s="45" t="s">
        <v>100</v>
      </c>
      <c r="N60" s="64" t="s">
        <v>321</v>
      </c>
      <c r="O60" s="49" t="s">
        <v>57</v>
      </c>
      <c r="P60" s="49" t="s">
        <v>58</v>
      </c>
      <c r="Q60" s="49" t="s">
        <v>59</v>
      </c>
      <c r="R60" s="75" t="s">
        <v>58</v>
      </c>
      <c r="S60" s="67">
        <v>1</v>
      </c>
      <c r="T60" s="67"/>
      <c r="U60" s="52">
        <v>2500000000</v>
      </c>
      <c r="V60" s="52"/>
      <c r="W60" s="53">
        <f>PROYECTOS_DIH[[#This Row],[VALOR DESEMBOLSOS PROYECTO]]/PROYECTOS_DIH[[#This Row],[Valor Proyecto Inicial.]]</f>
        <v>0</v>
      </c>
      <c r="X60" s="54">
        <v>0</v>
      </c>
      <c r="Y60" s="54" t="s">
        <v>1173</v>
      </c>
      <c r="Z60" s="69">
        <v>2568</v>
      </c>
      <c r="AA60" s="90" t="s">
        <v>322</v>
      </c>
      <c r="AB60" s="5" t="s">
        <v>1139</v>
      </c>
      <c r="AC60" s="56" t="s">
        <v>62</v>
      </c>
      <c r="AD60" s="59">
        <v>10.610667660000001</v>
      </c>
      <c r="AE60" s="59">
        <v>-74.268456099999995</v>
      </c>
      <c r="AF60" s="5" t="s">
        <v>150</v>
      </c>
      <c r="AG60" s="71" t="s">
        <v>64</v>
      </c>
      <c r="AJ60" s="121"/>
    </row>
    <row r="61" spans="1:36" s="99" customFormat="1" ht="11.4" customHeight="1" x14ac:dyDescent="0.3">
      <c r="A61" s="1" t="s">
        <v>34</v>
      </c>
      <c r="B61" s="43">
        <v>51</v>
      </c>
      <c r="C61" s="191">
        <v>16141</v>
      </c>
      <c r="D61" s="19">
        <v>2026</v>
      </c>
      <c r="E61" s="44" t="s">
        <v>35</v>
      </c>
      <c r="F61" s="45" t="s">
        <v>36</v>
      </c>
      <c r="G61" s="46">
        <v>45653</v>
      </c>
      <c r="H61" s="46">
        <v>46441</v>
      </c>
      <c r="I61" s="111" t="s">
        <v>323</v>
      </c>
      <c r="J61" s="48">
        <v>18094</v>
      </c>
      <c r="K61" s="111" t="s">
        <v>324</v>
      </c>
      <c r="L61" s="112" t="s">
        <v>70</v>
      </c>
      <c r="M61" s="112" t="s">
        <v>71</v>
      </c>
      <c r="N61" s="111" t="s">
        <v>325</v>
      </c>
      <c r="O61" s="2" t="s">
        <v>42</v>
      </c>
      <c r="P61" s="49"/>
      <c r="Q61" s="45" t="s">
        <v>44</v>
      </c>
      <c r="R61" s="2" t="s">
        <v>214</v>
      </c>
      <c r="S61" s="51">
        <v>0</v>
      </c>
      <c r="T61" s="51"/>
      <c r="U61" s="113">
        <v>5256810852</v>
      </c>
      <c r="V61" s="113"/>
      <c r="W61" s="79">
        <f>PROYECTOS_DIH[[#This Row],[VALOR DESEMBOLSOS PROYECTO]]/PROYECTOS_DIH[[#This Row],[Valor Proyecto Inicial.]]</f>
        <v>1</v>
      </c>
      <c r="X61" s="54">
        <v>5256810852</v>
      </c>
      <c r="Y61" s="54" t="s">
        <v>1180</v>
      </c>
      <c r="Z61" s="55"/>
      <c r="AA61" s="57" t="s">
        <v>215</v>
      </c>
      <c r="AB61" s="5" t="s">
        <v>1165</v>
      </c>
      <c r="AC61" s="56" t="s">
        <v>47</v>
      </c>
      <c r="AD61" s="59">
        <v>1.415786446</v>
      </c>
      <c r="AE61" s="59">
        <v>-75.87247395</v>
      </c>
      <c r="AF61" s="5" t="s">
        <v>326</v>
      </c>
      <c r="AG61" s="81" t="s">
        <v>80</v>
      </c>
      <c r="AJ61" s="121"/>
    </row>
    <row r="62" spans="1:36" s="99" customFormat="1" ht="11.4" customHeight="1" x14ac:dyDescent="0.3">
      <c r="A62" s="1" t="s">
        <v>34</v>
      </c>
      <c r="B62" s="43">
        <v>52</v>
      </c>
      <c r="C62" s="191">
        <v>16494</v>
      </c>
      <c r="D62" s="19">
        <v>2026</v>
      </c>
      <c r="E62" s="44" t="s">
        <v>35</v>
      </c>
      <c r="F62" s="45" t="s">
        <v>36</v>
      </c>
      <c r="G62" s="46">
        <v>45653</v>
      </c>
      <c r="H62" s="46">
        <v>46441</v>
      </c>
      <c r="I62" s="111" t="s">
        <v>37</v>
      </c>
      <c r="J62" s="48">
        <v>27600</v>
      </c>
      <c r="K62" s="111" t="s">
        <v>327</v>
      </c>
      <c r="L62" s="112" t="s">
        <v>55</v>
      </c>
      <c r="M62" s="111" t="s">
        <v>328</v>
      </c>
      <c r="N62" s="111" t="s">
        <v>329</v>
      </c>
      <c r="O62" s="45" t="s">
        <v>42</v>
      </c>
      <c r="P62" s="49"/>
      <c r="Q62" s="45" t="s">
        <v>44</v>
      </c>
      <c r="R62" s="2" t="s">
        <v>214</v>
      </c>
      <c r="S62" s="51">
        <v>0</v>
      </c>
      <c r="T62" s="51"/>
      <c r="U62" s="113">
        <v>1040726094.42</v>
      </c>
      <c r="V62" s="113"/>
      <c r="W62" s="79">
        <f>PROYECTOS_DIH[[#This Row],[VALOR DESEMBOLSOS PROYECTO]]/PROYECTOS_DIH[[#This Row],[Valor Proyecto Inicial.]]</f>
        <v>0</v>
      </c>
      <c r="X62" s="54"/>
      <c r="Y62" s="54" t="s">
        <v>1180</v>
      </c>
      <c r="Z62" s="92">
        <v>1915</v>
      </c>
      <c r="AA62" s="57" t="s">
        <v>215</v>
      </c>
      <c r="AB62" s="5" t="s">
        <v>1153</v>
      </c>
      <c r="AC62" s="56" t="s">
        <v>62</v>
      </c>
      <c r="AD62" s="59">
        <v>5.483727751</v>
      </c>
      <c r="AE62" s="59">
        <v>-76.741016560000006</v>
      </c>
      <c r="AF62" s="5" t="s">
        <v>330</v>
      </c>
      <c r="AG62" s="77" t="s">
        <v>75</v>
      </c>
      <c r="AJ62" s="121"/>
    </row>
    <row r="63" spans="1:36" s="99" customFormat="1" ht="11.4" customHeight="1" x14ac:dyDescent="0.3">
      <c r="A63" s="1" t="s">
        <v>34</v>
      </c>
      <c r="B63" s="43">
        <v>53</v>
      </c>
      <c r="C63" s="191">
        <v>16497</v>
      </c>
      <c r="D63" s="19">
        <v>2026</v>
      </c>
      <c r="E63" s="44" t="s">
        <v>35</v>
      </c>
      <c r="F63" s="45" t="s">
        <v>36</v>
      </c>
      <c r="G63" s="46">
        <v>45653</v>
      </c>
      <c r="H63" s="46">
        <v>46441</v>
      </c>
      <c r="I63" s="112" t="s">
        <v>37</v>
      </c>
      <c r="J63" s="48">
        <v>27787</v>
      </c>
      <c r="K63" s="112" t="s">
        <v>331</v>
      </c>
      <c r="L63" s="112" t="s">
        <v>55</v>
      </c>
      <c r="M63" s="112" t="s">
        <v>332</v>
      </c>
      <c r="N63" s="112" t="s">
        <v>333</v>
      </c>
      <c r="O63" s="45" t="s">
        <v>42</v>
      </c>
      <c r="P63" s="49"/>
      <c r="Q63" s="45" t="s">
        <v>44</v>
      </c>
      <c r="R63" s="125" t="s">
        <v>214</v>
      </c>
      <c r="S63" s="51">
        <v>0</v>
      </c>
      <c r="T63" s="51"/>
      <c r="U63" s="113">
        <v>1062961722.55</v>
      </c>
      <c r="V63" s="113"/>
      <c r="W63" s="79">
        <f>PROYECTOS_DIH[[#This Row],[VALOR DESEMBOLSOS PROYECTO]]/PROYECTOS_DIH[[#This Row],[Valor Proyecto Inicial.]]</f>
        <v>0</v>
      </c>
      <c r="X63" s="54"/>
      <c r="Y63" s="54" t="s">
        <v>1180</v>
      </c>
      <c r="Z63" s="92">
        <v>2091</v>
      </c>
      <c r="AA63" s="57" t="s">
        <v>215</v>
      </c>
      <c r="AB63" s="5" t="s">
        <v>1153</v>
      </c>
      <c r="AC63" s="56" t="s">
        <v>96</v>
      </c>
      <c r="AD63" s="59">
        <v>5.2641399489999996</v>
      </c>
      <c r="AE63" s="59">
        <v>-76.558766019999993</v>
      </c>
      <c r="AF63" s="5" t="s">
        <v>330</v>
      </c>
      <c r="AG63" s="77" t="s">
        <v>75</v>
      </c>
      <c r="AJ63" s="121"/>
    </row>
    <row r="64" spans="1:36" s="99" customFormat="1" ht="11.4" customHeight="1" x14ac:dyDescent="0.3">
      <c r="A64" s="114" t="s">
        <v>221</v>
      </c>
      <c r="B64" s="43">
        <v>55</v>
      </c>
      <c r="C64" s="94">
        <v>16540</v>
      </c>
      <c r="D64" s="44">
        <v>2024</v>
      </c>
      <c r="E64" s="44" t="s">
        <v>222</v>
      </c>
      <c r="F64" s="45" t="s">
        <v>223</v>
      </c>
      <c r="G64" s="46">
        <v>45558</v>
      </c>
      <c r="H64" s="46">
        <v>46575</v>
      </c>
      <c r="I64" s="4" t="s">
        <v>201</v>
      </c>
      <c r="J64" s="63">
        <v>13744</v>
      </c>
      <c r="K64" s="127" t="s">
        <v>336</v>
      </c>
      <c r="L64" s="8" t="s">
        <v>70</v>
      </c>
      <c r="M64" s="4" t="s">
        <v>225</v>
      </c>
      <c r="N64" s="45" t="s">
        <v>226</v>
      </c>
      <c r="O64" s="49" t="s">
        <v>42</v>
      </c>
      <c r="P64" s="49"/>
      <c r="Q64" s="49" t="s">
        <v>59</v>
      </c>
      <c r="R64" s="117" t="s">
        <v>337</v>
      </c>
      <c r="S64" s="51">
        <v>1</v>
      </c>
      <c r="T64" s="51"/>
      <c r="U64" s="52">
        <v>4036515135.3499999</v>
      </c>
      <c r="V64" s="52"/>
      <c r="W64" s="53">
        <f>PROYECTOS_DIH[[#This Row],[VALOR DESEMBOLSOS PROYECTO]]/PROYECTOS_DIH[[#This Row],[Valor Proyecto Inicial.]]</f>
        <v>0.85286855002254225</v>
      </c>
      <c r="X64" s="10">
        <v>3442616810.6300001</v>
      </c>
      <c r="Y64" s="54" t="s">
        <v>1169</v>
      </c>
      <c r="Z64" s="55">
        <v>5657</v>
      </c>
      <c r="AA64" s="122" t="s">
        <v>338</v>
      </c>
      <c r="AB64" s="5" t="s">
        <v>1140</v>
      </c>
      <c r="AC64" s="56" t="s">
        <v>47</v>
      </c>
      <c r="AD64" s="59">
        <v>7.9541763760000004</v>
      </c>
      <c r="AE64" s="59">
        <v>-73.947311959999993</v>
      </c>
      <c r="AF64" s="5" t="s">
        <v>339</v>
      </c>
      <c r="AG64" s="93" t="s">
        <v>110</v>
      </c>
      <c r="AJ64" s="121"/>
    </row>
    <row r="65" spans="1:36" s="99" customFormat="1" ht="11.4" customHeight="1" x14ac:dyDescent="0.3">
      <c r="A65" s="114" t="s">
        <v>221</v>
      </c>
      <c r="B65" s="43">
        <v>41</v>
      </c>
      <c r="C65" s="94">
        <v>16541</v>
      </c>
      <c r="D65" s="44">
        <v>2024</v>
      </c>
      <c r="E65" s="44" t="s">
        <v>222</v>
      </c>
      <c r="F65" s="45" t="s">
        <v>223</v>
      </c>
      <c r="G65" s="46">
        <v>45558</v>
      </c>
      <c r="H65" s="46">
        <v>46575</v>
      </c>
      <c r="I65" s="47" t="s">
        <v>268</v>
      </c>
      <c r="J65" s="48">
        <v>19050</v>
      </c>
      <c r="K65" s="96" t="s">
        <v>280</v>
      </c>
      <c r="L65" s="8" t="s">
        <v>70</v>
      </c>
      <c r="M65" s="4" t="s">
        <v>225</v>
      </c>
      <c r="N65" s="45" t="s">
        <v>226</v>
      </c>
      <c r="O65" s="49" t="s">
        <v>42</v>
      </c>
      <c r="P65" s="49"/>
      <c r="Q65" s="45" t="s">
        <v>120</v>
      </c>
      <c r="R65" s="50" t="s">
        <v>227</v>
      </c>
      <c r="S65" s="51">
        <v>0</v>
      </c>
      <c r="T65" s="51"/>
      <c r="U65" s="118"/>
      <c r="V65" s="118"/>
      <c r="W65" s="53" t="e">
        <f>PROYECTOS_DIH[[#This Row],[VALOR DESEMBOLSOS PROYECTO]]/PROYECTOS_DIH[[#This Row],[Valor Proyecto Inicial.]]</f>
        <v>#DIV/0!</v>
      </c>
      <c r="X65" s="54">
        <v>0</v>
      </c>
      <c r="Y65" s="54" t="s">
        <v>1169</v>
      </c>
      <c r="Z65" s="55">
        <v>2075</v>
      </c>
      <c r="AA65" s="57" t="s">
        <v>281</v>
      </c>
      <c r="AB65" s="5" t="s">
        <v>1138</v>
      </c>
      <c r="AC65" s="56" t="s">
        <v>47</v>
      </c>
      <c r="AD65" s="59">
        <v>2.2567549090000001</v>
      </c>
      <c r="AE65" s="59">
        <v>-77.249450280000005</v>
      </c>
      <c r="AF65" s="5" t="s">
        <v>272</v>
      </c>
      <c r="AG65" s="77" t="s">
        <v>75</v>
      </c>
      <c r="AJ65" s="121"/>
    </row>
    <row r="66" spans="1:36" s="99" customFormat="1" ht="11.4" customHeight="1" x14ac:dyDescent="0.3">
      <c r="A66" s="114" t="s">
        <v>221</v>
      </c>
      <c r="B66" s="43">
        <v>56</v>
      </c>
      <c r="C66" s="94">
        <v>16542</v>
      </c>
      <c r="D66" s="44">
        <v>2024</v>
      </c>
      <c r="E66" s="44" t="s">
        <v>222</v>
      </c>
      <c r="F66" s="45" t="s">
        <v>223</v>
      </c>
      <c r="G66" s="46">
        <v>45558</v>
      </c>
      <c r="H66" s="46">
        <v>46575</v>
      </c>
      <c r="I66" s="4" t="s">
        <v>201</v>
      </c>
      <c r="J66" s="63">
        <v>13688</v>
      </c>
      <c r="K66" s="127" t="s">
        <v>340</v>
      </c>
      <c r="L66" s="8" t="s">
        <v>70</v>
      </c>
      <c r="M66" s="4" t="s">
        <v>225</v>
      </c>
      <c r="N66" s="45" t="s">
        <v>226</v>
      </c>
      <c r="O66" s="49" t="s">
        <v>42</v>
      </c>
      <c r="P66" s="49" t="s">
        <v>42</v>
      </c>
      <c r="Q66" s="49" t="s">
        <v>59</v>
      </c>
      <c r="R66" s="117" t="s">
        <v>337</v>
      </c>
      <c r="S66" s="51">
        <v>0.88039999999999996</v>
      </c>
      <c r="T66" s="51"/>
      <c r="U66" s="52">
        <v>3824819887.6199999</v>
      </c>
      <c r="V66" s="52"/>
      <c r="W66" s="53">
        <f>PROYECTOS_DIH[[#This Row],[VALOR DESEMBOLSOS PROYECTO]]/PROYECTOS_DIH[[#This Row],[Valor Proyecto Inicial.]]</f>
        <v>0.75695368888900805</v>
      </c>
      <c r="X66" s="10">
        <v>2895211523.27</v>
      </c>
      <c r="Y66" s="54" t="s">
        <v>1169</v>
      </c>
      <c r="Z66" s="55">
        <v>10000</v>
      </c>
      <c r="AA66" s="122" t="s">
        <v>341</v>
      </c>
      <c r="AB66" s="5" t="s">
        <v>1140</v>
      </c>
      <c r="AC66" s="56" t="s">
        <v>47</v>
      </c>
      <c r="AD66" s="59">
        <v>7.9628548309999996</v>
      </c>
      <c r="AE66" s="59">
        <v>-74.052840009999997</v>
      </c>
      <c r="AF66" s="5" t="s">
        <v>339</v>
      </c>
      <c r="AG66" s="93" t="s">
        <v>110</v>
      </c>
      <c r="AJ66" s="121"/>
    </row>
    <row r="67" spans="1:36" s="99" customFormat="1" ht="11.4" customHeight="1" x14ac:dyDescent="0.3">
      <c r="A67" s="114" t="s">
        <v>221</v>
      </c>
      <c r="B67" s="43">
        <v>57</v>
      </c>
      <c r="C67" s="94">
        <v>16543</v>
      </c>
      <c r="D67" s="44">
        <v>2024</v>
      </c>
      <c r="E67" s="44" t="s">
        <v>222</v>
      </c>
      <c r="F67" s="45" t="s">
        <v>223</v>
      </c>
      <c r="G67" s="46">
        <v>45558</v>
      </c>
      <c r="H67" s="46">
        <v>46575</v>
      </c>
      <c r="I67" s="47" t="s">
        <v>268</v>
      </c>
      <c r="J67" s="48">
        <v>19130</v>
      </c>
      <c r="K67" s="96" t="s">
        <v>342</v>
      </c>
      <c r="L67" s="8" t="s">
        <v>70</v>
      </c>
      <c r="M67" s="4" t="s">
        <v>225</v>
      </c>
      <c r="N67" s="45" t="s">
        <v>226</v>
      </c>
      <c r="O67" s="45" t="s">
        <v>42</v>
      </c>
      <c r="P67" s="49" t="s">
        <v>42</v>
      </c>
      <c r="Q67" s="49" t="s">
        <v>170</v>
      </c>
      <c r="R67" s="117" t="s">
        <v>343</v>
      </c>
      <c r="S67" s="51">
        <v>0.35170000000000001</v>
      </c>
      <c r="T67" s="51"/>
      <c r="U67" s="52">
        <v>5426805112.0500002</v>
      </c>
      <c r="V67" s="52"/>
      <c r="W67" s="53">
        <f>PROYECTOS_DIH[[#This Row],[VALOR DESEMBOLSOS PROYECTO]]/PROYECTOS_DIH[[#This Row],[Valor Proyecto Inicial.]]</f>
        <v>0.30109843378597911</v>
      </c>
      <c r="X67" s="54">
        <v>1634002519.7</v>
      </c>
      <c r="Y67" s="54" t="s">
        <v>1169</v>
      </c>
      <c r="Z67" s="55">
        <v>1958</v>
      </c>
      <c r="AA67" s="122" t="s">
        <v>344</v>
      </c>
      <c r="AB67" s="5" t="s">
        <v>1138</v>
      </c>
      <c r="AC67" s="56" t="s">
        <v>47</v>
      </c>
      <c r="AD67" s="59">
        <v>2.6233382540000001</v>
      </c>
      <c r="AE67" s="59">
        <v>-76.570884269999993</v>
      </c>
      <c r="AF67" s="5" t="s">
        <v>272</v>
      </c>
      <c r="AG67" s="77" t="s">
        <v>75</v>
      </c>
      <c r="AJ67" s="121"/>
    </row>
    <row r="68" spans="1:36" s="99" customFormat="1" ht="11.4" customHeight="1" x14ac:dyDescent="0.3">
      <c r="A68" s="114" t="s">
        <v>221</v>
      </c>
      <c r="B68" s="43">
        <v>58</v>
      </c>
      <c r="C68" s="94">
        <v>16544</v>
      </c>
      <c r="D68" s="44">
        <v>2024</v>
      </c>
      <c r="E68" s="44" t="s">
        <v>222</v>
      </c>
      <c r="F68" s="45" t="s">
        <v>223</v>
      </c>
      <c r="G68" s="46">
        <v>45558</v>
      </c>
      <c r="H68" s="46">
        <v>46575</v>
      </c>
      <c r="I68" s="4" t="s">
        <v>201</v>
      </c>
      <c r="J68" s="63">
        <v>13473</v>
      </c>
      <c r="K68" s="96" t="s">
        <v>345</v>
      </c>
      <c r="L68" s="8" t="s">
        <v>70</v>
      </c>
      <c r="M68" s="4" t="s">
        <v>225</v>
      </c>
      <c r="N68" s="45" t="s">
        <v>226</v>
      </c>
      <c r="O68" s="49" t="s">
        <v>42</v>
      </c>
      <c r="P68" s="49"/>
      <c r="Q68" s="49" t="s">
        <v>78</v>
      </c>
      <c r="R68" s="117" t="s">
        <v>346</v>
      </c>
      <c r="S68" s="51">
        <v>1</v>
      </c>
      <c r="T68" s="51"/>
      <c r="U68" s="52">
        <v>3483180121.8099999</v>
      </c>
      <c r="V68" s="52">
        <v>3814579640.5799999</v>
      </c>
      <c r="W68" s="53">
        <f>PROYECTOS_DIH[[#This Row],[VALOR DESEMBOLSOS PROYECTO]]/PROYECTOS_DIH[[#This Row],[Valor Proyecto Inicial.]]</f>
        <v>0.92493154579840509</v>
      </c>
      <c r="X68" s="54">
        <v>3221703174.3600001</v>
      </c>
      <c r="Y68" s="54" t="s">
        <v>1169</v>
      </c>
      <c r="Z68" s="55">
        <v>2200</v>
      </c>
      <c r="AA68" s="122" t="s">
        <v>347</v>
      </c>
      <c r="AB68" s="5" t="s">
        <v>1140</v>
      </c>
      <c r="AC68" s="56" t="s">
        <v>47</v>
      </c>
      <c r="AD68" s="59">
        <v>8.2763067709999998</v>
      </c>
      <c r="AE68" s="59">
        <v>-73.868140479999994</v>
      </c>
      <c r="AF68" s="5" t="s">
        <v>339</v>
      </c>
      <c r="AG68" s="93" t="s">
        <v>110</v>
      </c>
    </row>
    <row r="69" spans="1:36" s="99" customFormat="1" ht="11.4" customHeight="1" x14ac:dyDescent="0.3">
      <c r="A69" s="114" t="s">
        <v>221</v>
      </c>
      <c r="B69" s="43">
        <v>59</v>
      </c>
      <c r="C69" s="94">
        <v>16545</v>
      </c>
      <c r="D69" s="44">
        <v>2024</v>
      </c>
      <c r="E69" s="44" t="s">
        <v>222</v>
      </c>
      <c r="F69" s="45" t="s">
        <v>223</v>
      </c>
      <c r="G69" s="46">
        <v>45558</v>
      </c>
      <c r="H69" s="46">
        <v>46575</v>
      </c>
      <c r="I69" s="47" t="s">
        <v>348</v>
      </c>
      <c r="J69" s="48">
        <v>50325</v>
      </c>
      <c r="K69" s="127" t="s">
        <v>349</v>
      </c>
      <c r="L69" s="8" t="s">
        <v>70</v>
      </c>
      <c r="M69" s="4" t="s">
        <v>225</v>
      </c>
      <c r="N69" s="45" t="s">
        <v>226</v>
      </c>
      <c r="O69" s="49" t="s">
        <v>42</v>
      </c>
      <c r="P69" s="49" t="s">
        <v>42</v>
      </c>
      <c r="Q69" s="49" t="s">
        <v>170</v>
      </c>
      <c r="R69" s="117" t="s">
        <v>350</v>
      </c>
      <c r="S69" s="51">
        <v>0.4244</v>
      </c>
      <c r="T69" s="51"/>
      <c r="U69" s="52">
        <v>5729452107.6899996</v>
      </c>
      <c r="V69" s="52"/>
      <c r="W69" s="53">
        <f>PROYECTOS_DIH[[#This Row],[VALOR DESEMBOLSOS PROYECTO]]/PROYECTOS_DIH[[#This Row],[Valor Proyecto Inicial.]]</f>
        <v>0.35485650602457319</v>
      </c>
      <c r="X69" s="10">
        <v>2033133356.3699999</v>
      </c>
      <c r="Y69" s="54" t="s">
        <v>1169</v>
      </c>
      <c r="Z69" s="55">
        <v>2434</v>
      </c>
      <c r="AA69" s="122" t="s">
        <v>351</v>
      </c>
      <c r="AB69" s="5" t="s">
        <v>1157</v>
      </c>
      <c r="AC69" s="56" t="s">
        <v>47</v>
      </c>
      <c r="AD69" s="59">
        <v>2.8964391370000002</v>
      </c>
      <c r="AE69" s="59">
        <v>-72.135644869999993</v>
      </c>
      <c r="AF69" s="5" t="s">
        <v>352</v>
      </c>
      <c r="AG69" s="120" t="s">
        <v>353</v>
      </c>
    </row>
    <row r="70" spans="1:36" s="99" customFormat="1" ht="11.4" customHeight="1" x14ac:dyDescent="0.3">
      <c r="A70" s="114" t="s">
        <v>221</v>
      </c>
      <c r="B70" s="43">
        <v>197</v>
      </c>
      <c r="C70" s="94">
        <v>16546</v>
      </c>
      <c r="D70" s="44">
        <v>2024</v>
      </c>
      <c r="E70" s="44" t="s">
        <v>222</v>
      </c>
      <c r="F70" s="45" t="s">
        <v>223</v>
      </c>
      <c r="G70" s="46">
        <v>45558</v>
      </c>
      <c r="H70" s="46">
        <v>46575</v>
      </c>
      <c r="I70" s="47" t="s">
        <v>348</v>
      </c>
      <c r="J70" s="48">
        <v>50350</v>
      </c>
      <c r="K70" s="96" t="s">
        <v>660</v>
      </c>
      <c r="L70" s="8" t="s">
        <v>70</v>
      </c>
      <c r="M70" s="144" t="s">
        <v>225</v>
      </c>
      <c r="N70" s="45" t="s">
        <v>226</v>
      </c>
      <c r="O70" s="49" t="s">
        <v>42</v>
      </c>
      <c r="P70" s="49"/>
      <c r="Q70" s="45" t="s">
        <v>120</v>
      </c>
      <c r="R70" s="50" t="s">
        <v>227</v>
      </c>
      <c r="S70" s="51">
        <v>0</v>
      </c>
      <c r="T70" s="51"/>
      <c r="U70" s="118"/>
      <c r="V70" s="118"/>
      <c r="W70" s="53" t="e">
        <f>PROYECTOS_DIH[[#This Row],[VALOR DESEMBOLSOS PROYECTO]]/PROYECTOS_DIH[[#This Row],[Valor Proyecto Inicial.]]</f>
        <v>#DIV/0!</v>
      </c>
      <c r="X70" s="54">
        <v>0</v>
      </c>
      <c r="Y70" s="54" t="s">
        <v>1169</v>
      </c>
      <c r="Z70" s="55">
        <v>16400</v>
      </c>
      <c r="AA70" s="57" t="s">
        <v>661</v>
      </c>
      <c r="AB70" s="5" t="s">
        <v>1157</v>
      </c>
      <c r="AC70" s="56" t="s">
        <v>47</v>
      </c>
      <c r="AD70" s="59">
        <v>2.1782142699999998</v>
      </c>
      <c r="AE70" s="59">
        <v>-73.787068820000002</v>
      </c>
      <c r="AF70" s="5" t="s">
        <v>352</v>
      </c>
      <c r="AG70" s="120" t="s">
        <v>353</v>
      </c>
    </row>
    <row r="71" spans="1:36" s="99" customFormat="1" ht="11.4" customHeight="1" x14ac:dyDescent="0.3">
      <c r="A71" s="114" t="s">
        <v>221</v>
      </c>
      <c r="B71" s="43">
        <v>61</v>
      </c>
      <c r="C71" s="94">
        <v>16547</v>
      </c>
      <c r="D71" s="44">
        <v>2024</v>
      </c>
      <c r="E71" s="44" t="s">
        <v>222</v>
      </c>
      <c r="F71" s="45" t="s">
        <v>223</v>
      </c>
      <c r="G71" s="46">
        <v>45558</v>
      </c>
      <c r="H71" s="46">
        <v>46575</v>
      </c>
      <c r="I71" s="47" t="s">
        <v>242</v>
      </c>
      <c r="J71" s="48">
        <v>81065</v>
      </c>
      <c r="K71" s="127" t="s">
        <v>357</v>
      </c>
      <c r="L71" s="8" t="s">
        <v>70</v>
      </c>
      <c r="M71" s="4" t="s">
        <v>225</v>
      </c>
      <c r="N71" s="45" t="s">
        <v>226</v>
      </c>
      <c r="O71" s="45" t="s">
        <v>42</v>
      </c>
      <c r="P71" s="49" t="s">
        <v>42</v>
      </c>
      <c r="Q71" s="49" t="s">
        <v>170</v>
      </c>
      <c r="R71" s="117" t="s">
        <v>350</v>
      </c>
      <c r="S71" s="51">
        <v>0</v>
      </c>
      <c r="T71" s="51"/>
      <c r="U71" s="52">
        <v>3501504575.04</v>
      </c>
      <c r="V71" s="52"/>
      <c r="W71" s="53">
        <f>PROYECTOS_DIH[[#This Row],[VALOR DESEMBOLSOS PROYECTO]]/PROYECTOS_DIH[[#This Row],[Valor Proyecto Inicial.]]</f>
        <v>6.68465763741937E-3</v>
      </c>
      <c r="X71" s="54">
        <v>23406359.300000001</v>
      </c>
      <c r="Y71" s="54" t="s">
        <v>1169</v>
      </c>
      <c r="Z71" s="55">
        <v>10000</v>
      </c>
      <c r="AA71" s="122" t="s">
        <v>358</v>
      </c>
      <c r="AB71" s="5" t="s">
        <v>1161</v>
      </c>
      <c r="AC71" s="56" t="s">
        <v>47</v>
      </c>
      <c r="AD71" s="59">
        <v>7.0269814149999998</v>
      </c>
      <c r="AE71" s="59">
        <v>-71.426751179999997</v>
      </c>
      <c r="AF71" s="5" t="s">
        <v>243</v>
      </c>
      <c r="AG71" s="120" t="s">
        <v>244</v>
      </c>
    </row>
    <row r="72" spans="1:36" s="99" customFormat="1" ht="11.4" customHeight="1" x14ac:dyDescent="0.3">
      <c r="A72" s="114" t="s">
        <v>221</v>
      </c>
      <c r="B72" s="43">
        <v>62</v>
      </c>
      <c r="C72" s="94">
        <v>16548</v>
      </c>
      <c r="D72" s="44">
        <v>2024</v>
      </c>
      <c r="E72" s="44" t="s">
        <v>222</v>
      </c>
      <c r="F72" s="45" t="s">
        <v>223</v>
      </c>
      <c r="G72" s="46">
        <v>45558</v>
      </c>
      <c r="H72" s="46">
        <v>46575</v>
      </c>
      <c r="I72" s="47" t="s">
        <v>37</v>
      </c>
      <c r="J72" s="48">
        <v>27099</v>
      </c>
      <c r="K72" s="8" t="s">
        <v>359</v>
      </c>
      <c r="L72" s="8" t="s">
        <v>70</v>
      </c>
      <c r="M72" s="4" t="s">
        <v>225</v>
      </c>
      <c r="N72" s="45" t="s">
        <v>226</v>
      </c>
      <c r="O72" s="45" t="s">
        <v>42</v>
      </c>
      <c r="P72" s="49" t="s">
        <v>42</v>
      </c>
      <c r="Q72" s="49" t="s">
        <v>170</v>
      </c>
      <c r="R72" s="117" t="s">
        <v>350</v>
      </c>
      <c r="S72" s="51">
        <v>7.7899999999999997E-2</v>
      </c>
      <c r="T72" s="51"/>
      <c r="U72" s="52">
        <v>6846782310.4499998</v>
      </c>
      <c r="V72" s="52"/>
      <c r="W72" s="53">
        <f>PROYECTOS_DIH[[#This Row],[VALOR DESEMBOLSOS PROYECTO]]/PROYECTOS_DIH[[#This Row],[Valor Proyecto Inicial.]]</f>
        <v>3.4712033919533157E-3</v>
      </c>
      <c r="X72" s="54">
        <v>23766573.98</v>
      </c>
      <c r="Y72" s="54" t="s">
        <v>1169</v>
      </c>
      <c r="Z72" s="55">
        <v>1088</v>
      </c>
      <c r="AA72" s="122" t="s">
        <v>360</v>
      </c>
      <c r="AB72" s="5" t="s">
        <v>1153</v>
      </c>
      <c r="AC72" s="56" t="s">
        <v>47</v>
      </c>
      <c r="AD72" s="59">
        <v>6.5562574439999999</v>
      </c>
      <c r="AE72" s="59">
        <v>-76.883469489999996</v>
      </c>
      <c r="AF72" s="5" t="s">
        <v>330</v>
      </c>
      <c r="AG72" s="77" t="s">
        <v>75</v>
      </c>
    </row>
    <row r="73" spans="1:36" s="99" customFormat="1" ht="11.4" customHeight="1" x14ac:dyDescent="0.3">
      <c r="A73" s="114" t="s">
        <v>221</v>
      </c>
      <c r="B73" s="43">
        <v>63</v>
      </c>
      <c r="C73" s="94">
        <v>16549</v>
      </c>
      <c r="D73" s="44">
        <v>2024</v>
      </c>
      <c r="E73" s="44" t="s">
        <v>222</v>
      </c>
      <c r="F73" s="45" t="s">
        <v>223</v>
      </c>
      <c r="G73" s="46">
        <v>45558</v>
      </c>
      <c r="H73" s="46">
        <v>46575</v>
      </c>
      <c r="I73" s="47" t="s">
        <v>189</v>
      </c>
      <c r="J73" s="48">
        <v>5495</v>
      </c>
      <c r="K73" s="127" t="s">
        <v>361</v>
      </c>
      <c r="L73" s="8" t="s">
        <v>70</v>
      </c>
      <c r="M73" s="4" t="s">
        <v>225</v>
      </c>
      <c r="N73" s="45" t="s">
        <v>226</v>
      </c>
      <c r="O73" s="45" t="s">
        <v>42</v>
      </c>
      <c r="P73" s="45"/>
      <c r="Q73" s="49" t="s">
        <v>44</v>
      </c>
      <c r="R73" s="117" t="s">
        <v>362</v>
      </c>
      <c r="S73" s="51">
        <v>0</v>
      </c>
      <c r="T73" s="51"/>
      <c r="U73" s="116">
        <v>5489248485.6000004</v>
      </c>
      <c r="V73" s="116"/>
      <c r="W73" s="53">
        <f>PROYECTOS_DIH[[#This Row],[VALOR DESEMBOLSOS PROYECTO]]/PROYECTOS_DIH[[#This Row],[Valor Proyecto Inicial.]]</f>
        <v>0</v>
      </c>
      <c r="X73" s="54">
        <v>0</v>
      </c>
      <c r="Y73" s="54" t="s">
        <v>1169</v>
      </c>
      <c r="Z73" s="55">
        <v>16400</v>
      </c>
      <c r="AA73" s="57" t="s">
        <v>363</v>
      </c>
      <c r="AB73" s="5" t="s">
        <v>1149</v>
      </c>
      <c r="AC73" s="56" t="s">
        <v>47</v>
      </c>
      <c r="AD73" s="59">
        <v>8.0941286609999992</v>
      </c>
      <c r="AE73" s="59">
        <v>-74.776470119999999</v>
      </c>
      <c r="AF73" s="5" t="s">
        <v>191</v>
      </c>
      <c r="AG73" s="110" t="s">
        <v>49</v>
      </c>
    </row>
    <row r="74" spans="1:36" s="99" customFormat="1" ht="11.4" customHeight="1" x14ac:dyDescent="0.3">
      <c r="A74" s="114" t="s">
        <v>221</v>
      </c>
      <c r="B74" s="43">
        <v>64</v>
      </c>
      <c r="C74" s="94">
        <v>16550</v>
      </c>
      <c r="D74" s="44">
        <v>2024</v>
      </c>
      <c r="E74" s="44" t="s">
        <v>222</v>
      </c>
      <c r="F74" s="45" t="s">
        <v>223</v>
      </c>
      <c r="G74" s="46">
        <v>45558</v>
      </c>
      <c r="H74" s="46">
        <v>46575</v>
      </c>
      <c r="I74" s="47" t="s">
        <v>176</v>
      </c>
      <c r="J74" s="48">
        <v>54800</v>
      </c>
      <c r="K74" s="127" t="s">
        <v>364</v>
      </c>
      <c r="L74" s="8" t="s">
        <v>70</v>
      </c>
      <c r="M74" s="4" t="s">
        <v>225</v>
      </c>
      <c r="N74" s="45" t="s">
        <v>226</v>
      </c>
      <c r="O74" s="49" t="s">
        <v>42</v>
      </c>
      <c r="P74" s="49" t="s">
        <v>42</v>
      </c>
      <c r="Q74" s="49" t="s">
        <v>170</v>
      </c>
      <c r="R74" s="117" t="s">
        <v>343</v>
      </c>
      <c r="S74" s="51">
        <v>0.61</v>
      </c>
      <c r="T74" s="51"/>
      <c r="U74" s="52">
        <v>4242308164.6399999</v>
      </c>
      <c r="V74" s="52"/>
      <c r="W74" s="53">
        <f>PROYECTOS_DIH[[#This Row],[VALOR DESEMBOLSOS PROYECTO]]/PROYECTOS_DIH[[#This Row],[Valor Proyecto Inicial.]]</f>
        <v>0.44699214182638641</v>
      </c>
      <c r="X74" s="10">
        <v>1896278412.8</v>
      </c>
      <c r="Y74" s="54" t="s">
        <v>1169</v>
      </c>
      <c r="Z74" s="55">
        <v>2426</v>
      </c>
      <c r="AA74" s="122" t="s">
        <v>365</v>
      </c>
      <c r="AB74" s="5" t="s">
        <v>1136</v>
      </c>
      <c r="AC74" s="56" t="s">
        <v>47</v>
      </c>
      <c r="AD74" s="59">
        <v>8.4363773379999998</v>
      </c>
      <c r="AE74" s="59">
        <v>-73.287409289999999</v>
      </c>
      <c r="AF74" s="5" t="s">
        <v>180</v>
      </c>
      <c r="AG74" s="93" t="s">
        <v>110</v>
      </c>
    </row>
    <row r="75" spans="1:36" s="99" customFormat="1" ht="11.4" customHeight="1" x14ac:dyDescent="0.3">
      <c r="A75" s="114" t="s">
        <v>221</v>
      </c>
      <c r="B75" s="43">
        <v>65</v>
      </c>
      <c r="C75" s="94">
        <v>16551</v>
      </c>
      <c r="D75" s="44">
        <v>2024</v>
      </c>
      <c r="E75" s="44" t="s">
        <v>222</v>
      </c>
      <c r="F75" s="45" t="s">
        <v>223</v>
      </c>
      <c r="G75" s="46">
        <v>45558</v>
      </c>
      <c r="H75" s="46">
        <v>46575</v>
      </c>
      <c r="I75" s="47" t="s">
        <v>323</v>
      </c>
      <c r="J75" s="48">
        <v>18753</v>
      </c>
      <c r="K75" s="96" t="s">
        <v>366</v>
      </c>
      <c r="L75" s="8" t="s">
        <v>70</v>
      </c>
      <c r="M75" s="4" t="s">
        <v>225</v>
      </c>
      <c r="N75" s="45" t="s">
        <v>226</v>
      </c>
      <c r="O75" s="49" t="s">
        <v>42</v>
      </c>
      <c r="P75" s="49"/>
      <c r="Q75" s="49" t="s">
        <v>44</v>
      </c>
      <c r="R75" s="117" t="s">
        <v>367</v>
      </c>
      <c r="S75" s="51">
        <v>0</v>
      </c>
      <c r="T75" s="51"/>
      <c r="U75" s="52">
        <v>3529200000</v>
      </c>
      <c r="V75" s="52"/>
      <c r="W75" s="53">
        <f>PROYECTOS_DIH[[#This Row],[VALOR DESEMBOLSOS PROYECTO]]/PROYECTOS_DIH[[#This Row],[Valor Proyecto Inicial.]]</f>
        <v>0</v>
      </c>
      <c r="X75" s="54">
        <v>0</v>
      </c>
      <c r="Y75" s="54" t="s">
        <v>1169</v>
      </c>
      <c r="Z75" s="55">
        <v>16400</v>
      </c>
      <c r="AA75" s="57" t="s">
        <v>368</v>
      </c>
      <c r="AB75" s="5" t="s">
        <v>1165</v>
      </c>
      <c r="AC75" s="56" t="s">
        <v>47</v>
      </c>
      <c r="AD75" s="59">
        <v>2.1197861310000001</v>
      </c>
      <c r="AE75" s="59">
        <v>-74.767340579999995</v>
      </c>
      <c r="AF75" s="5" t="s">
        <v>326</v>
      </c>
      <c r="AG75" s="81" t="s">
        <v>80</v>
      </c>
    </row>
    <row r="76" spans="1:36" s="99" customFormat="1" ht="11.4" customHeight="1" x14ac:dyDescent="0.3">
      <c r="A76" s="114" t="s">
        <v>221</v>
      </c>
      <c r="B76" s="43">
        <v>66</v>
      </c>
      <c r="C76" s="94">
        <v>16552</v>
      </c>
      <c r="D76" s="44">
        <v>2024</v>
      </c>
      <c r="E76" s="44" t="s">
        <v>222</v>
      </c>
      <c r="F76" s="45" t="s">
        <v>223</v>
      </c>
      <c r="G76" s="46">
        <v>45558</v>
      </c>
      <c r="H76" s="46">
        <v>46575</v>
      </c>
      <c r="I76" s="47" t="s">
        <v>37</v>
      </c>
      <c r="J76" s="48">
        <v>27491</v>
      </c>
      <c r="K76" s="127" t="s">
        <v>369</v>
      </c>
      <c r="L76" s="8" t="s">
        <v>70</v>
      </c>
      <c r="M76" s="4" t="s">
        <v>225</v>
      </c>
      <c r="N76" s="45" t="s">
        <v>226</v>
      </c>
      <c r="O76" s="45" t="s">
        <v>42</v>
      </c>
      <c r="P76" s="49" t="s">
        <v>42</v>
      </c>
      <c r="Q76" s="49" t="s">
        <v>170</v>
      </c>
      <c r="R76" s="117" t="s">
        <v>350</v>
      </c>
      <c r="S76" s="51">
        <v>0.31490000000000001</v>
      </c>
      <c r="T76" s="51"/>
      <c r="U76" s="52">
        <v>5158577812.25</v>
      </c>
      <c r="V76" s="52"/>
      <c r="W76" s="53">
        <f>PROYECTOS_DIH[[#This Row],[VALOR DESEMBOLSOS PROYECTO]]/PROYECTOS_DIH[[#This Row],[Valor Proyecto Inicial.]]</f>
        <v>0.38831739227682327</v>
      </c>
      <c r="X76" s="54">
        <v>2003165483.9100001</v>
      </c>
      <c r="Y76" s="54" t="s">
        <v>1169</v>
      </c>
      <c r="Z76" s="55">
        <v>3343</v>
      </c>
      <c r="AA76" s="122" t="s">
        <v>370</v>
      </c>
      <c r="AB76" s="5" t="s">
        <v>1153</v>
      </c>
      <c r="AC76" s="56" t="s">
        <v>47</v>
      </c>
      <c r="AD76" s="59">
        <v>4.9560970089999996</v>
      </c>
      <c r="AE76" s="59">
        <v>-76.607118139999997</v>
      </c>
      <c r="AF76" s="5" t="s">
        <v>330</v>
      </c>
      <c r="AG76" s="77" t="s">
        <v>75</v>
      </c>
    </row>
    <row r="77" spans="1:36" s="99" customFormat="1" ht="11.4" customHeight="1" x14ac:dyDescent="0.3">
      <c r="A77" s="114" t="s">
        <v>221</v>
      </c>
      <c r="B77" s="43">
        <v>67</v>
      </c>
      <c r="C77" s="94">
        <v>16553</v>
      </c>
      <c r="D77" s="44">
        <v>2024</v>
      </c>
      <c r="E77" s="44" t="s">
        <v>222</v>
      </c>
      <c r="F77" s="45" t="s">
        <v>223</v>
      </c>
      <c r="G77" s="46">
        <v>45558</v>
      </c>
      <c r="H77" s="46">
        <v>46575</v>
      </c>
      <c r="I77" s="47" t="s">
        <v>268</v>
      </c>
      <c r="J77" s="48">
        <v>19318</v>
      </c>
      <c r="K77" s="127" t="s">
        <v>371</v>
      </c>
      <c r="L77" s="8" t="s">
        <v>70</v>
      </c>
      <c r="M77" s="4" t="s">
        <v>225</v>
      </c>
      <c r="N77" s="45" t="s">
        <v>226</v>
      </c>
      <c r="O77" s="45" t="s">
        <v>42</v>
      </c>
      <c r="P77" s="49" t="s">
        <v>42</v>
      </c>
      <c r="Q77" s="49" t="s">
        <v>170</v>
      </c>
      <c r="R77" s="117" t="s">
        <v>343</v>
      </c>
      <c r="S77" s="51">
        <v>0.1384</v>
      </c>
      <c r="T77" s="51"/>
      <c r="U77" s="52">
        <v>6175770249.4899998</v>
      </c>
      <c r="V77" s="52"/>
      <c r="W77" s="53">
        <f>PROYECTOS_DIH[[#This Row],[VALOR DESEMBOLSOS PROYECTO]]/PROYECTOS_DIH[[#This Row],[Valor Proyecto Inicial.]]</f>
        <v>0.10490460652798755</v>
      </c>
      <c r="X77" s="54">
        <v>647866748.02999997</v>
      </c>
      <c r="Y77" s="54" t="s">
        <v>1169</v>
      </c>
      <c r="Z77" s="55">
        <v>10000</v>
      </c>
      <c r="AA77" s="57" t="s">
        <v>372</v>
      </c>
      <c r="AB77" s="5" t="s">
        <v>1138</v>
      </c>
      <c r="AC77" s="56" t="s">
        <v>47</v>
      </c>
      <c r="AD77" s="59">
        <v>2.5729183660000001</v>
      </c>
      <c r="AE77" s="59">
        <v>-77.888033469999996</v>
      </c>
      <c r="AF77" s="5" t="s">
        <v>272</v>
      </c>
      <c r="AG77" s="77" t="s">
        <v>75</v>
      </c>
    </row>
    <row r="78" spans="1:36" s="99" customFormat="1" ht="11.4" customHeight="1" x14ac:dyDescent="0.3">
      <c r="A78" s="114" t="s">
        <v>221</v>
      </c>
      <c r="B78" s="43">
        <v>295</v>
      </c>
      <c r="C78" s="94">
        <v>16554</v>
      </c>
      <c r="D78" s="44">
        <v>2024</v>
      </c>
      <c r="E78" s="44" t="s">
        <v>222</v>
      </c>
      <c r="F78" s="45" t="s">
        <v>223</v>
      </c>
      <c r="G78" s="46">
        <v>45558</v>
      </c>
      <c r="H78" s="46">
        <v>46575</v>
      </c>
      <c r="I78" s="45" t="s">
        <v>141</v>
      </c>
      <c r="J78" s="98">
        <v>23682</v>
      </c>
      <c r="K78" s="96" t="s">
        <v>967</v>
      </c>
      <c r="L78" s="8" t="s">
        <v>70</v>
      </c>
      <c r="M78" s="4" t="s">
        <v>225</v>
      </c>
      <c r="N78" s="45" t="s">
        <v>226</v>
      </c>
      <c r="O78" s="49" t="s">
        <v>42</v>
      </c>
      <c r="P78" s="49"/>
      <c r="Q78" s="45" t="s">
        <v>120</v>
      </c>
      <c r="R78" s="50" t="s">
        <v>227</v>
      </c>
      <c r="S78" s="51">
        <v>0</v>
      </c>
      <c r="T78" s="51"/>
      <c r="U78" s="118"/>
      <c r="V78" s="118"/>
      <c r="W78" s="53" t="e">
        <f>PROYECTOS_DIH[[#This Row],[VALOR DESEMBOLSOS PROYECTO]]/PROYECTOS_DIH[[#This Row],[Valor Proyecto Inicial.]]</f>
        <v>#DIV/0!</v>
      </c>
      <c r="X78" s="54">
        <v>0</v>
      </c>
      <c r="Y78" s="54" t="s">
        <v>1169</v>
      </c>
      <c r="Z78" s="55">
        <v>1140</v>
      </c>
      <c r="AA78" s="57" t="s">
        <v>968</v>
      </c>
      <c r="AB78" s="5" t="s">
        <v>1142</v>
      </c>
      <c r="AC78" s="56" t="s">
        <v>47</v>
      </c>
      <c r="AD78" s="59">
        <v>7.78718515</v>
      </c>
      <c r="AE78" s="59">
        <v>-75.533132899999998</v>
      </c>
      <c r="AF78" s="5" t="s">
        <v>145</v>
      </c>
      <c r="AG78" s="71" t="s">
        <v>64</v>
      </c>
    </row>
    <row r="79" spans="1:36" s="99" customFormat="1" ht="11.4" customHeight="1" x14ac:dyDescent="0.3">
      <c r="A79" s="114" t="s">
        <v>221</v>
      </c>
      <c r="B79" s="43">
        <v>238</v>
      </c>
      <c r="C79" s="94">
        <v>16555</v>
      </c>
      <c r="D79" s="44">
        <v>2024</v>
      </c>
      <c r="E79" s="44" t="s">
        <v>222</v>
      </c>
      <c r="F79" s="45" t="s">
        <v>223</v>
      </c>
      <c r="G79" s="46">
        <v>45558</v>
      </c>
      <c r="H79" s="46">
        <v>46575</v>
      </c>
      <c r="I79" s="47" t="s">
        <v>394</v>
      </c>
      <c r="J79" s="48">
        <v>70508</v>
      </c>
      <c r="K79" s="96" t="s">
        <v>787</v>
      </c>
      <c r="L79" s="8" t="s">
        <v>70</v>
      </c>
      <c r="M79" s="4" t="s">
        <v>225</v>
      </c>
      <c r="N79" s="45" t="s">
        <v>226</v>
      </c>
      <c r="O79" s="49" t="s">
        <v>42</v>
      </c>
      <c r="P79" s="49"/>
      <c r="Q79" s="45" t="s">
        <v>120</v>
      </c>
      <c r="R79" s="50" t="s">
        <v>227</v>
      </c>
      <c r="S79" s="51">
        <v>0</v>
      </c>
      <c r="T79" s="51"/>
      <c r="U79" s="118"/>
      <c r="V79" s="118"/>
      <c r="W79" s="53" t="e">
        <f>PROYECTOS_DIH[[#This Row],[VALOR DESEMBOLSOS PROYECTO]]/PROYECTOS_DIH[[#This Row],[Valor Proyecto Inicial.]]</f>
        <v>#DIV/0!</v>
      </c>
      <c r="X79" s="54">
        <v>0</v>
      </c>
      <c r="Y79" s="54" t="s">
        <v>1169</v>
      </c>
      <c r="Z79" s="55">
        <v>16400</v>
      </c>
      <c r="AA79" s="57" t="s">
        <v>788</v>
      </c>
      <c r="AB79" s="5" t="s">
        <v>1133</v>
      </c>
      <c r="AC79" s="56" t="s">
        <v>47</v>
      </c>
      <c r="AD79" s="59">
        <v>9.5266872389999993</v>
      </c>
      <c r="AE79" s="59">
        <v>-75.229084439999994</v>
      </c>
      <c r="AF79" s="5" t="s">
        <v>397</v>
      </c>
      <c r="AG79" s="71" t="s">
        <v>64</v>
      </c>
    </row>
    <row r="80" spans="1:36" s="99" customFormat="1" ht="11.4" customHeight="1" x14ac:dyDescent="0.3">
      <c r="A80" s="114" t="s">
        <v>221</v>
      </c>
      <c r="B80" s="43">
        <v>68</v>
      </c>
      <c r="C80" s="94">
        <v>16556</v>
      </c>
      <c r="D80" s="44">
        <v>2024</v>
      </c>
      <c r="E80" s="44" t="s">
        <v>222</v>
      </c>
      <c r="F80" s="45" t="s">
        <v>223</v>
      </c>
      <c r="G80" s="46">
        <v>45558</v>
      </c>
      <c r="H80" s="46">
        <v>46575</v>
      </c>
      <c r="I80" s="47" t="s">
        <v>189</v>
      </c>
      <c r="J80" s="48">
        <v>5147</v>
      </c>
      <c r="K80" s="127" t="s">
        <v>373</v>
      </c>
      <c r="L80" s="8" t="s">
        <v>70</v>
      </c>
      <c r="M80" s="4" t="s">
        <v>225</v>
      </c>
      <c r="N80" s="45" t="s">
        <v>226</v>
      </c>
      <c r="O80" s="49" t="s">
        <v>42</v>
      </c>
      <c r="P80" s="49" t="s">
        <v>42</v>
      </c>
      <c r="Q80" s="49" t="s">
        <v>59</v>
      </c>
      <c r="R80" s="117" t="s">
        <v>337</v>
      </c>
      <c r="S80" s="51">
        <v>0.91910000000000003</v>
      </c>
      <c r="T80" s="51"/>
      <c r="U80" s="128">
        <v>5764204675.4700003</v>
      </c>
      <c r="V80" s="128"/>
      <c r="W80" s="53">
        <f>PROYECTOS_DIH[[#This Row],[VALOR DESEMBOLSOS PROYECTO]]/PROYECTOS_DIH[[#This Row],[Valor Proyecto Inicial.]]</f>
        <v>0.74290391969310754</v>
      </c>
      <c r="X80" s="54">
        <v>4282250247.3200002</v>
      </c>
      <c r="Y80" s="54" t="s">
        <v>1169</v>
      </c>
      <c r="Z80" s="55">
        <v>10000</v>
      </c>
      <c r="AA80" s="57" t="s">
        <v>374</v>
      </c>
      <c r="AB80" s="5" t="s">
        <v>1141</v>
      </c>
      <c r="AC80" s="56" t="s">
        <v>47</v>
      </c>
      <c r="AD80" s="59">
        <v>7.7551163460000003</v>
      </c>
      <c r="AE80" s="59">
        <v>-76.653210340000001</v>
      </c>
      <c r="AF80" s="5" t="s">
        <v>48</v>
      </c>
      <c r="AG80" s="60" t="s">
        <v>49</v>
      </c>
    </row>
    <row r="81" spans="1:33" s="99" customFormat="1" ht="11.4" customHeight="1" x14ac:dyDescent="0.3">
      <c r="A81" s="114" t="s">
        <v>221</v>
      </c>
      <c r="B81" s="43">
        <v>318</v>
      </c>
      <c r="C81" s="94">
        <v>16557</v>
      </c>
      <c r="D81" s="44">
        <v>2024</v>
      </c>
      <c r="E81" s="44" t="s">
        <v>222</v>
      </c>
      <c r="F81" s="45" t="s">
        <v>223</v>
      </c>
      <c r="G81" s="46">
        <v>45558</v>
      </c>
      <c r="H81" s="46">
        <v>46575</v>
      </c>
      <c r="I81" s="47" t="s">
        <v>189</v>
      </c>
      <c r="J81" s="48">
        <v>5736</v>
      </c>
      <c r="K81" s="96" t="s">
        <v>1004</v>
      </c>
      <c r="L81" s="8" t="s">
        <v>70</v>
      </c>
      <c r="M81" s="4" t="s">
        <v>225</v>
      </c>
      <c r="N81" s="45" t="s">
        <v>226</v>
      </c>
      <c r="O81" s="49" t="s">
        <v>42</v>
      </c>
      <c r="P81" s="49"/>
      <c r="Q81" s="45" t="s">
        <v>120</v>
      </c>
      <c r="R81" s="50" t="s">
        <v>227</v>
      </c>
      <c r="S81" s="51">
        <v>0</v>
      </c>
      <c r="T81" s="51"/>
      <c r="U81" s="116"/>
      <c r="V81" s="116"/>
      <c r="W81" s="53" t="e">
        <f>PROYECTOS_DIH[[#This Row],[VALOR DESEMBOLSOS PROYECTO]]/PROYECTOS_DIH[[#This Row],[Valor Proyecto Inicial.]]</f>
        <v>#DIV/0!</v>
      </c>
      <c r="X81" s="54">
        <v>0</v>
      </c>
      <c r="Y81" s="54" t="s">
        <v>1169</v>
      </c>
      <c r="Z81" s="55">
        <v>16400</v>
      </c>
      <c r="AA81" s="57" t="s">
        <v>1005</v>
      </c>
      <c r="AB81" s="5" t="s">
        <v>1149</v>
      </c>
      <c r="AC81" s="56" t="s">
        <v>47</v>
      </c>
      <c r="AD81" s="59">
        <v>7.0796396789999996</v>
      </c>
      <c r="AE81" s="59">
        <v>-74.701591070000006</v>
      </c>
      <c r="AF81" s="5" t="s">
        <v>191</v>
      </c>
      <c r="AG81" s="110" t="s">
        <v>49</v>
      </c>
    </row>
    <row r="82" spans="1:33" s="99" customFormat="1" ht="11.4" customHeight="1" x14ac:dyDescent="0.3">
      <c r="A82" s="114" t="s">
        <v>221</v>
      </c>
      <c r="B82" s="43">
        <v>69</v>
      </c>
      <c r="C82" s="94">
        <v>16558</v>
      </c>
      <c r="D82" s="44">
        <v>2024</v>
      </c>
      <c r="E82" s="44" t="s">
        <v>222</v>
      </c>
      <c r="F82" s="45" t="s">
        <v>223</v>
      </c>
      <c r="G82" s="46">
        <v>45558</v>
      </c>
      <c r="H82" s="46">
        <v>46575</v>
      </c>
      <c r="I82" s="47" t="s">
        <v>189</v>
      </c>
      <c r="J82" s="48">
        <v>5490</v>
      </c>
      <c r="K82" s="127" t="s">
        <v>375</v>
      </c>
      <c r="L82" s="8" t="s">
        <v>70</v>
      </c>
      <c r="M82" s="4" t="s">
        <v>225</v>
      </c>
      <c r="N82" s="45" t="s">
        <v>226</v>
      </c>
      <c r="O82" s="49" t="s">
        <v>42</v>
      </c>
      <c r="P82" s="49" t="s">
        <v>42</v>
      </c>
      <c r="Q82" s="49" t="s">
        <v>59</v>
      </c>
      <c r="R82" s="117" t="s">
        <v>337</v>
      </c>
      <c r="S82" s="51">
        <v>1</v>
      </c>
      <c r="T82" s="51"/>
      <c r="U82" s="128">
        <v>5070002449.3400002</v>
      </c>
      <c r="V82" s="128"/>
      <c r="W82" s="53">
        <f>PROYECTOS_DIH[[#This Row],[VALOR DESEMBOLSOS PROYECTO]]/PROYECTOS_DIH[[#This Row],[Valor Proyecto Inicial.]]</f>
        <v>0.80829013263563043</v>
      </c>
      <c r="X82" s="54">
        <v>4098032952.2399998</v>
      </c>
      <c r="Y82" s="54" t="s">
        <v>1169</v>
      </c>
      <c r="Z82" s="55">
        <v>9946</v>
      </c>
      <c r="AA82" s="57" t="s">
        <v>376</v>
      </c>
      <c r="AB82" s="5" t="s">
        <v>1141</v>
      </c>
      <c r="AC82" s="56" t="s">
        <v>47</v>
      </c>
      <c r="AD82" s="59">
        <v>8.426135983</v>
      </c>
      <c r="AE82" s="59">
        <v>-76.784574500000005</v>
      </c>
      <c r="AF82" s="5" t="s">
        <v>48</v>
      </c>
      <c r="AG82" s="60" t="s">
        <v>49</v>
      </c>
    </row>
    <row r="83" spans="1:33" s="99" customFormat="1" ht="11.4" customHeight="1" x14ac:dyDescent="0.3">
      <c r="A83" s="114" t="s">
        <v>221</v>
      </c>
      <c r="B83" s="43">
        <v>70</v>
      </c>
      <c r="C83" s="94">
        <v>16559</v>
      </c>
      <c r="D83" s="44">
        <v>2024</v>
      </c>
      <c r="E83" s="44" t="s">
        <v>222</v>
      </c>
      <c r="F83" s="45" t="s">
        <v>223</v>
      </c>
      <c r="G83" s="46">
        <v>45558</v>
      </c>
      <c r="H83" s="46">
        <v>46575</v>
      </c>
      <c r="I83" s="47" t="s">
        <v>377</v>
      </c>
      <c r="J83" s="48">
        <v>86573</v>
      </c>
      <c r="K83" s="127" t="s">
        <v>378</v>
      </c>
      <c r="L83" s="8" t="s">
        <v>70</v>
      </c>
      <c r="M83" s="4" t="s">
        <v>225</v>
      </c>
      <c r="N83" s="45" t="s">
        <v>226</v>
      </c>
      <c r="O83" s="49" t="s">
        <v>42</v>
      </c>
      <c r="P83" s="49"/>
      <c r="Q83" s="49" t="s">
        <v>44</v>
      </c>
      <c r="R83" s="117" t="s">
        <v>379</v>
      </c>
      <c r="S83" s="51">
        <v>0</v>
      </c>
      <c r="T83" s="51"/>
      <c r="U83" s="52">
        <v>5382165800.7700005</v>
      </c>
      <c r="V83" s="52"/>
      <c r="W83" s="53">
        <f>PROYECTOS_DIH[[#This Row],[VALOR DESEMBOLSOS PROYECTO]]/PROYECTOS_DIH[[#This Row],[Valor Proyecto Inicial.]]</f>
        <v>4.5509905726976553E-3</v>
      </c>
      <c r="X83" s="54">
        <v>24494185.82</v>
      </c>
      <c r="Y83" s="54" t="s">
        <v>1169</v>
      </c>
      <c r="Z83" s="55">
        <v>10624</v>
      </c>
      <c r="AA83" s="122" t="s">
        <v>380</v>
      </c>
      <c r="AB83" s="5" t="s">
        <v>1150</v>
      </c>
      <c r="AC83" s="56" t="s">
        <v>47</v>
      </c>
      <c r="AD83" s="59">
        <v>-0.19187284900000001</v>
      </c>
      <c r="AE83" s="59">
        <v>-74.782471029999996</v>
      </c>
      <c r="AF83" s="5" t="s">
        <v>381</v>
      </c>
      <c r="AG83" s="81" t="s">
        <v>80</v>
      </c>
    </row>
    <row r="84" spans="1:33" s="99" customFormat="1" ht="11.4" customHeight="1" x14ac:dyDescent="0.3">
      <c r="A84" s="114" t="s">
        <v>221</v>
      </c>
      <c r="B84" s="43">
        <v>301</v>
      </c>
      <c r="C84" s="94">
        <v>16560</v>
      </c>
      <c r="D84" s="44">
        <v>2024</v>
      </c>
      <c r="E84" s="44" t="s">
        <v>222</v>
      </c>
      <c r="F84" s="45" t="s">
        <v>223</v>
      </c>
      <c r="G84" s="46">
        <v>45558</v>
      </c>
      <c r="H84" s="46">
        <v>46575</v>
      </c>
      <c r="I84" s="4" t="s">
        <v>201</v>
      </c>
      <c r="J84" s="63">
        <v>13657</v>
      </c>
      <c r="K84" s="96" t="s">
        <v>981</v>
      </c>
      <c r="L84" s="8" t="s">
        <v>70</v>
      </c>
      <c r="M84" s="4" t="s">
        <v>225</v>
      </c>
      <c r="N84" s="45" t="s">
        <v>226</v>
      </c>
      <c r="O84" s="49" t="s">
        <v>42</v>
      </c>
      <c r="P84" s="49"/>
      <c r="Q84" s="45" t="s">
        <v>120</v>
      </c>
      <c r="R84" s="50" t="s">
        <v>227</v>
      </c>
      <c r="S84" s="51">
        <v>0</v>
      </c>
      <c r="T84" s="51"/>
      <c r="U84" s="118"/>
      <c r="V84" s="118"/>
      <c r="W84" s="53" t="e">
        <f>PROYECTOS_DIH[[#This Row],[VALOR DESEMBOLSOS PROYECTO]]/PROYECTOS_DIH[[#This Row],[Valor Proyecto Inicial.]]</f>
        <v>#DIV/0!</v>
      </c>
      <c r="X84" s="54">
        <v>0</v>
      </c>
      <c r="Y84" s="54" t="s">
        <v>1169</v>
      </c>
      <c r="Z84" s="55">
        <v>16400</v>
      </c>
      <c r="AA84" s="57" t="s">
        <v>982</v>
      </c>
      <c r="AB84" s="5" t="s">
        <v>1152</v>
      </c>
      <c r="AC84" s="56" t="s">
        <v>47</v>
      </c>
      <c r="AD84" s="59">
        <v>9.9534543880000008</v>
      </c>
      <c r="AE84" s="59">
        <v>-75.081352929999994</v>
      </c>
      <c r="AF84" s="5" t="s">
        <v>205</v>
      </c>
      <c r="AG84" s="71" t="s">
        <v>64</v>
      </c>
    </row>
    <row r="85" spans="1:33" s="99" customFormat="1" ht="11.4" customHeight="1" x14ac:dyDescent="0.3">
      <c r="A85" s="114" t="s">
        <v>221</v>
      </c>
      <c r="B85" s="43">
        <v>71</v>
      </c>
      <c r="C85" s="94">
        <v>16561</v>
      </c>
      <c r="D85" s="44">
        <v>2024</v>
      </c>
      <c r="E85" s="44" t="s">
        <v>222</v>
      </c>
      <c r="F85" s="45" t="s">
        <v>223</v>
      </c>
      <c r="G85" s="46">
        <v>45558</v>
      </c>
      <c r="H85" s="46">
        <v>46575</v>
      </c>
      <c r="I85" s="4" t="s">
        <v>201</v>
      </c>
      <c r="J85" s="63">
        <v>13042</v>
      </c>
      <c r="K85" s="96" t="s">
        <v>382</v>
      </c>
      <c r="L85" s="8" t="s">
        <v>70</v>
      </c>
      <c r="M85" s="4" t="s">
        <v>225</v>
      </c>
      <c r="N85" s="45" t="s">
        <v>226</v>
      </c>
      <c r="O85" s="49" t="s">
        <v>42</v>
      </c>
      <c r="P85" s="49"/>
      <c r="Q85" s="49" t="s">
        <v>78</v>
      </c>
      <c r="R85" s="117" t="s">
        <v>346</v>
      </c>
      <c r="S85" s="51">
        <v>1</v>
      </c>
      <c r="T85" s="51"/>
      <c r="U85" s="52">
        <v>3929407672</v>
      </c>
      <c r="V85" s="52">
        <v>4288903630.77</v>
      </c>
      <c r="W85" s="53">
        <f>PROYECTOS_DIH[[#This Row],[VALOR DESEMBOLSOS PROYECTO]]/PROYECTOS_DIH[[#This Row],[Valor Proyecto Inicial.]]</f>
        <v>0.83589618795094567</v>
      </c>
      <c r="X85" s="54">
        <v>3284576893.9299998</v>
      </c>
      <c r="Y85" s="54" t="s">
        <v>1169</v>
      </c>
      <c r="Z85" s="55">
        <v>4485</v>
      </c>
      <c r="AA85" s="122" t="s">
        <v>383</v>
      </c>
      <c r="AB85" s="5" t="s">
        <v>1140</v>
      </c>
      <c r="AC85" s="56" t="s">
        <v>47</v>
      </c>
      <c r="AD85" s="59">
        <v>8.4586304380000001</v>
      </c>
      <c r="AE85" s="59">
        <v>-73.941115830000001</v>
      </c>
      <c r="AF85" s="5" t="s">
        <v>339</v>
      </c>
      <c r="AG85" s="93" t="s">
        <v>110</v>
      </c>
    </row>
    <row r="86" spans="1:33" s="99" customFormat="1" ht="11.4" customHeight="1" x14ac:dyDescent="0.3">
      <c r="A86" s="114" t="s">
        <v>221</v>
      </c>
      <c r="B86" s="43">
        <v>73</v>
      </c>
      <c r="C86" s="94">
        <v>16562</v>
      </c>
      <c r="D86" s="44">
        <v>2024</v>
      </c>
      <c r="E86" s="44" t="s">
        <v>222</v>
      </c>
      <c r="F86" s="45" t="s">
        <v>223</v>
      </c>
      <c r="G86" s="46">
        <v>45558</v>
      </c>
      <c r="H86" s="46">
        <v>46575</v>
      </c>
      <c r="I86" s="47" t="s">
        <v>386</v>
      </c>
      <c r="J86" s="48">
        <v>20045</v>
      </c>
      <c r="K86" s="127" t="s">
        <v>387</v>
      </c>
      <c r="L86" s="8" t="s">
        <v>70</v>
      </c>
      <c r="M86" s="4" t="s">
        <v>225</v>
      </c>
      <c r="N86" s="45" t="s">
        <v>226</v>
      </c>
      <c r="O86" s="49" t="s">
        <v>42</v>
      </c>
      <c r="P86" s="49" t="s">
        <v>42</v>
      </c>
      <c r="Q86" s="49" t="s">
        <v>59</v>
      </c>
      <c r="R86" s="117" t="s">
        <v>337</v>
      </c>
      <c r="S86" s="51">
        <v>0.88380000000000003</v>
      </c>
      <c r="T86" s="51"/>
      <c r="U86" s="52">
        <v>3738352080.1399999</v>
      </c>
      <c r="V86" s="52"/>
      <c r="W86" s="53">
        <f>PROYECTOS_DIH[[#This Row],[VALOR DESEMBOLSOS PROYECTO]]/PROYECTOS_DIH[[#This Row],[Valor Proyecto Inicial.]]</f>
        <v>0.46422073952301712</v>
      </c>
      <c r="X86" s="10">
        <v>1735420567.24</v>
      </c>
      <c r="Y86" s="54" t="s">
        <v>1169</v>
      </c>
      <c r="Z86" s="55">
        <v>10000</v>
      </c>
      <c r="AA86" s="122" t="s">
        <v>388</v>
      </c>
      <c r="AB86" s="5" t="s">
        <v>1143</v>
      </c>
      <c r="AC86" s="56" t="s">
        <v>47</v>
      </c>
      <c r="AD86" s="59">
        <v>9.7046061160000008</v>
      </c>
      <c r="AE86" s="59">
        <v>-73.279231670000001</v>
      </c>
      <c r="AF86" s="5" t="s">
        <v>389</v>
      </c>
      <c r="AG86" s="71" t="s">
        <v>64</v>
      </c>
    </row>
    <row r="87" spans="1:33" s="99" customFormat="1" ht="11.4" customHeight="1" x14ac:dyDescent="0.3">
      <c r="A87" s="114" t="s">
        <v>221</v>
      </c>
      <c r="B87" s="43">
        <v>74</v>
      </c>
      <c r="C87" s="94">
        <v>16563</v>
      </c>
      <c r="D87" s="44">
        <v>2024</v>
      </c>
      <c r="E87" s="44" t="s">
        <v>222</v>
      </c>
      <c r="F87" s="45" t="s">
        <v>223</v>
      </c>
      <c r="G87" s="46">
        <v>45558</v>
      </c>
      <c r="H87" s="46">
        <v>46575</v>
      </c>
      <c r="I87" s="4" t="s">
        <v>201</v>
      </c>
      <c r="J87" s="63">
        <v>13442</v>
      </c>
      <c r="K87" s="127" t="s">
        <v>390</v>
      </c>
      <c r="L87" s="8" t="s">
        <v>70</v>
      </c>
      <c r="M87" s="4" t="s">
        <v>225</v>
      </c>
      <c r="N87" s="45" t="s">
        <v>226</v>
      </c>
      <c r="O87" s="49" t="s">
        <v>42</v>
      </c>
      <c r="P87" s="49" t="s">
        <v>42</v>
      </c>
      <c r="Q87" s="49" t="s">
        <v>59</v>
      </c>
      <c r="R87" s="117" t="s">
        <v>337</v>
      </c>
      <c r="S87" s="51">
        <v>0.83450000000000002</v>
      </c>
      <c r="T87" s="51"/>
      <c r="U87" s="52">
        <v>4325171797.1599998</v>
      </c>
      <c r="V87" s="52"/>
      <c r="W87" s="53">
        <f>PROYECTOS_DIH[[#This Row],[VALOR DESEMBOLSOS PROYECTO]]/PROYECTOS_DIH[[#This Row],[Valor Proyecto Inicial.]]</f>
        <v>0.78736036663933284</v>
      </c>
      <c r="X87" s="54">
        <v>3405468851.9899998</v>
      </c>
      <c r="Y87" s="54" t="s">
        <v>1169</v>
      </c>
      <c r="Z87" s="55">
        <v>20191</v>
      </c>
      <c r="AA87" s="122" t="s">
        <v>391</v>
      </c>
      <c r="AB87" s="5" t="s">
        <v>1152</v>
      </c>
      <c r="AC87" s="56" t="s">
        <v>47</v>
      </c>
      <c r="AD87" s="59">
        <v>9.9826455169999999</v>
      </c>
      <c r="AE87" s="59">
        <v>-75.300759350000007</v>
      </c>
      <c r="AF87" s="5" t="s">
        <v>205</v>
      </c>
      <c r="AG87" s="71" t="s">
        <v>64</v>
      </c>
    </row>
    <row r="88" spans="1:33" s="99" customFormat="1" ht="11.4" customHeight="1" x14ac:dyDescent="0.3">
      <c r="A88" s="114" t="s">
        <v>221</v>
      </c>
      <c r="B88" s="43">
        <v>75</v>
      </c>
      <c r="C88" s="94">
        <v>16564</v>
      </c>
      <c r="D88" s="44">
        <v>2024</v>
      </c>
      <c r="E88" s="44" t="s">
        <v>222</v>
      </c>
      <c r="F88" s="45" t="s">
        <v>223</v>
      </c>
      <c r="G88" s="46">
        <v>45558</v>
      </c>
      <c r="H88" s="46">
        <v>46575</v>
      </c>
      <c r="I88" s="47" t="s">
        <v>386</v>
      </c>
      <c r="J88" s="48">
        <v>20750</v>
      </c>
      <c r="K88" s="127" t="s">
        <v>392</v>
      </c>
      <c r="L88" s="8" t="s">
        <v>70</v>
      </c>
      <c r="M88" s="4" t="s">
        <v>225</v>
      </c>
      <c r="N88" s="45" t="s">
        <v>226</v>
      </c>
      <c r="O88" s="45" t="s">
        <v>42</v>
      </c>
      <c r="P88" s="49" t="s">
        <v>42</v>
      </c>
      <c r="Q88" s="49" t="s">
        <v>59</v>
      </c>
      <c r="R88" s="117" t="s">
        <v>337</v>
      </c>
      <c r="S88" s="51">
        <v>0.83450000000000002</v>
      </c>
      <c r="T88" s="51"/>
      <c r="U88" s="52">
        <v>3270636162.1799998</v>
      </c>
      <c r="V88" s="52"/>
      <c r="W88" s="53">
        <f>PROYECTOS_DIH[[#This Row],[VALOR DESEMBOLSOS PROYECTO]]/PROYECTOS_DIH[[#This Row],[Valor Proyecto Inicial.]]</f>
        <v>0.41068476643537971</v>
      </c>
      <c r="X88" s="54">
        <v>1343200448.3599999</v>
      </c>
      <c r="Y88" s="54" t="s">
        <v>1169</v>
      </c>
      <c r="Z88" s="55">
        <v>10000</v>
      </c>
      <c r="AA88" s="122" t="s">
        <v>393</v>
      </c>
      <c r="AB88" s="5" t="s">
        <v>1143</v>
      </c>
      <c r="AC88" s="56" t="s">
        <v>47</v>
      </c>
      <c r="AD88" s="59">
        <v>10.333032859999999</v>
      </c>
      <c r="AE88" s="59">
        <v>-73.181218079999994</v>
      </c>
      <c r="AF88" s="5" t="s">
        <v>389</v>
      </c>
      <c r="AG88" s="71" t="s">
        <v>64</v>
      </c>
    </row>
    <row r="89" spans="1:33" s="99" customFormat="1" ht="11.4" customHeight="1" x14ac:dyDescent="0.3">
      <c r="A89" s="114" t="s">
        <v>221</v>
      </c>
      <c r="B89" s="43">
        <v>27</v>
      </c>
      <c r="C89" s="94">
        <v>16565</v>
      </c>
      <c r="D89" s="44">
        <v>2024</v>
      </c>
      <c r="E89" s="44" t="s">
        <v>222</v>
      </c>
      <c r="F89" s="45" t="s">
        <v>223</v>
      </c>
      <c r="G89" s="46">
        <v>45558</v>
      </c>
      <c r="H89" s="46">
        <v>46575</v>
      </c>
      <c r="I89" s="47" t="s">
        <v>149</v>
      </c>
      <c r="J89" s="48">
        <v>47053</v>
      </c>
      <c r="K89" s="47" t="s">
        <v>149</v>
      </c>
      <c r="L89" s="8" t="s">
        <v>70</v>
      </c>
      <c r="M89" s="4" t="s">
        <v>225</v>
      </c>
      <c r="N89" s="45" t="s">
        <v>226</v>
      </c>
      <c r="O89" s="49" t="s">
        <v>42</v>
      </c>
      <c r="P89" s="49"/>
      <c r="Q89" s="45" t="s">
        <v>120</v>
      </c>
      <c r="R89" s="117" t="s">
        <v>233</v>
      </c>
      <c r="S89" s="51">
        <v>0</v>
      </c>
      <c r="T89" s="51"/>
      <c r="U89" s="118"/>
      <c r="V89" s="118"/>
      <c r="W89" s="53" t="e">
        <f>PROYECTOS_DIH[[#This Row],[VALOR DESEMBOLSOS PROYECTO]]/PROYECTOS_DIH[[#This Row],[Valor Proyecto Inicial.]]</f>
        <v>#DIV/0!</v>
      </c>
      <c r="X89" s="54">
        <v>0</v>
      </c>
      <c r="Y89" s="54" t="s">
        <v>1169</v>
      </c>
      <c r="Z89" s="55">
        <v>16400</v>
      </c>
      <c r="AA89" s="57" t="s">
        <v>234</v>
      </c>
      <c r="AB89" s="5" t="s">
        <v>1139</v>
      </c>
      <c r="AC89" s="56" t="s">
        <v>47</v>
      </c>
      <c r="AD89" s="59">
        <v>10.589800009999999</v>
      </c>
      <c r="AE89" s="59">
        <v>-74.18676284</v>
      </c>
      <c r="AF89" s="5" t="s">
        <v>150</v>
      </c>
      <c r="AG89" s="71" t="s">
        <v>64</v>
      </c>
    </row>
    <row r="90" spans="1:33" s="99" customFormat="1" ht="11.4" customHeight="1" x14ac:dyDescent="0.3">
      <c r="A90" s="114" t="s">
        <v>221</v>
      </c>
      <c r="B90" s="43">
        <v>76</v>
      </c>
      <c r="C90" s="94">
        <v>16566</v>
      </c>
      <c r="D90" s="44">
        <v>2024</v>
      </c>
      <c r="E90" s="44" t="s">
        <v>222</v>
      </c>
      <c r="F90" s="45" t="s">
        <v>223</v>
      </c>
      <c r="G90" s="46">
        <v>45558</v>
      </c>
      <c r="H90" s="46">
        <v>46575</v>
      </c>
      <c r="I90" s="47" t="s">
        <v>394</v>
      </c>
      <c r="J90" s="48">
        <v>70204</v>
      </c>
      <c r="K90" s="127" t="s">
        <v>395</v>
      </c>
      <c r="L90" s="8" t="s">
        <v>70</v>
      </c>
      <c r="M90" s="4" t="s">
        <v>225</v>
      </c>
      <c r="N90" s="45" t="s">
        <v>226</v>
      </c>
      <c r="O90" s="49" t="s">
        <v>42</v>
      </c>
      <c r="P90" s="49" t="s">
        <v>42</v>
      </c>
      <c r="Q90" s="49" t="s">
        <v>170</v>
      </c>
      <c r="R90" s="117" t="s">
        <v>350</v>
      </c>
      <c r="S90" s="67">
        <v>0.4632</v>
      </c>
      <c r="T90" s="51"/>
      <c r="U90" s="52">
        <v>4911187815.1000004</v>
      </c>
      <c r="V90" s="52"/>
      <c r="W90" s="53">
        <f>PROYECTOS_DIH[[#This Row],[VALOR DESEMBOLSOS PROYECTO]]/PROYECTOS_DIH[[#This Row],[Valor Proyecto Inicial.]]</f>
        <v>0.32265749961503642</v>
      </c>
      <c r="X90" s="54">
        <v>1584631580.5599999</v>
      </c>
      <c r="Y90" s="54" t="s">
        <v>1169</v>
      </c>
      <c r="Z90" s="55">
        <v>3436</v>
      </c>
      <c r="AA90" s="122" t="s">
        <v>396</v>
      </c>
      <c r="AB90" s="5" t="s">
        <v>1133</v>
      </c>
      <c r="AC90" s="56" t="s">
        <v>47</v>
      </c>
      <c r="AD90" s="59">
        <v>9.4941928579999999</v>
      </c>
      <c r="AE90" s="59">
        <v>-75.35325675</v>
      </c>
      <c r="AF90" s="5" t="s">
        <v>397</v>
      </c>
      <c r="AG90" s="71" t="s">
        <v>64</v>
      </c>
    </row>
    <row r="91" spans="1:33" s="99" customFormat="1" ht="11.4" customHeight="1" x14ac:dyDescent="0.3">
      <c r="A91" s="114" t="s">
        <v>221</v>
      </c>
      <c r="B91" s="43">
        <v>77</v>
      </c>
      <c r="C91" s="94">
        <v>16567</v>
      </c>
      <c r="D91" s="44">
        <v>2024</v>
      </c>
      <c r="E91" s="44" t="s">
        <v>222</v>
      </c>
      <c r="F91" s="45" t="s">
        <v>223</v>
      </c>
      <c r="G91" s="46">
        <v>45558</v>
      </c>
      <c r="H91" s="46">
        <v>46575</v>
      </c>
      <c r="I91" s="47" t="s">
        <v>348</v>
      </c>
      <c r="J91" s="48">
        <v>50711</v>
      </c>
      <c r="K91" s="127" t="s">
        <v>398</v>
      </c>
      <c r="L91" s="8" t="s">
        <v>70</v>
      </c>
      <c r="M91" s="4" t="s">
        <v>225</v>
      </c>
      <c r="N91" s="45" t="s">
        <v>226</v>
      </c>
      <c r="O91" s="49" t="s">
        <v>42</v>
      </c>
      <c r="P91" s="49" t="s">
        <v>42</v>
      </c>
      <c r="Q91" s="49" t="s">
        <v>170</v>
      </c>
      <c r="R91" s="117" t="s">
        <v>350</v>
      </c>
      <c r="S91" s="51">
        <v>0.53200000000000003</v>
      </c>
      <c r="T91" s="51"/>
      <c r="U91" s="52">
        <v>4933304945.8299999</v>
      </c>
      <c r="V91" s="52"/>
      <c r="W91" s="53">
        <f>PROYECTOS_DIH[[#This Row],[VALOR DESEMBOLSOS PROYECTO]]/PROYECTOS_DIH[[#This Row],[Valor Proyecto Inicial.]]</f>
        <v>0.31230350950275343</v>
      </c>
      <c r="X91" s="14">
        <v>1540688448.03</v>
      </c>
      <c r="Y91" s="54" t="s">
        <v>1169</v>
      </c>
      <c r="Z91" s="55">
        <v>7195</v>
      </c>
      <c r="AA91" s="122" t="s">
        <v>399</v>
      </c>
      <c r="AB91" s="5" t="s">
        <v>1157</v>
      </c>
      <c r="AC91" s="56" t="s">
        <v>47</v>
      </c>
      <c r="AD91" s="59">
        <v>3.1257521000000001</v>
      </c>
      <c r="AE91" s="59">
        <v>-73.751166760000004</v>
      </c>
      <c r="AF91" s="5" t="s">
        <v>352</v>
      </c>
      <c r="AG91" s="120" t="s">
        <v>353</v>
      </c>
    </row>
    <row r="92" spans="1:33" s="99" customFormat="1" ht="11.4" customHeight="1" x14ac:dyDescent="0.3">
      <c r="A92" s="114" t="s">
        <v>221</v>
      </c>
      <c r="B92" s="43">
        <v>79</v>
      </c>
      <c r="C92" s="94">
        <v>16568</v>
      </c>
      <c r="D92" s="44">
        <v>2024</v>
      </c>
      <c r="E92" s="44" t="s">
        <v>222</v>
      </c>
      <c r="F92" s="45" t="s">
        <v>223</v>
      </c>
      <c r="G92" s="46">
        <v>45558</v>
      </c>
      <c r="H92" s="46">
        <v>46575</v>
      </c>
      <c r="I92" s="45" t="s">
        <v>141</v>
      </c>
      <c r="J92" s="98">
        <v>23807</v>
      </c>
      <c r="K92" s="127" t="s">
        <v>402</v>
      </c>
      <c r="L92" s="8" t="s">
        <v>70</v>
      </c>
      <c r="M92" s="4" t="s">
        <v>225</v>
      </c>
      <c r="N92" s="45" t="s">
        <v>226</v>
      </c>
      <c r="O92" s="49" t="s">
        <v>42</v>
      </c>
      <c r="P92" s="49"/>
      <c r="Q92" s="49" t="s">
        <v>59</v>
      </c>
      <c r="R92" s="117" t="s">
        <v>337</v>
      </c>
      <c r="S92" s="51">
        <v>1</v>
      </c>
      <c r="T92" s="51"/>
      <c r="U92" s="52">
        <v>3305781595</v>
      </c>
      <c r="V92" s="52"/>
      <c r="W92" s="53">
        <f>PROYECTOS_DIH[[#This Row],[VALOR DESEMBOLSOS PROYECTO]]/PROYECTOS_DIH[[#This Row],[Valor Proyecto Inicial.]]</f>
        <v>0.96213634157522132</v>
      </c>
      <c r="X92" s="10">
        <v>3180612609.8600001</v>
      </c>
      <c r="Y92" s="54" t="s">
        <v>1169</v>
      </c>
      <c r="Z92" s="55">
        <v>10000</v>
      </c>
      <c r="AA92" s="57" t="s">
        <v>403</v>
      </c>
      <c r="AB92" s="5" t="s">
        <v>1142</v>
      </c>
      <c r="AC92" s="56" t="s">
        <v>47</v>
      </c>
      <c r="AD92" s="59">
        <v>8.1703786839999992</v>
      </c>
      <c r="AE92" s="59">
        <v>-76.059696590000001</v>
      </c>
      <c r="AF92" s="5" t="s">
        <v>145</v>
      </c>
      <c r="AG92" s="71" t="s">
        <v>64</v>
      </c>
    </row>
    <row r="93" spans="1:33" s="99" customFormat="1" ht="11.4" customHeight="1" x14ac:dyDescent="0.3">
      <c r="A93" s="114" t="s">
        <v>221</v>
      </c>
      <c r="B93" s="43">
        <v>80</v>
      </c>
      <c r="C93" s="94">
        <v>16569</v>
      </c>
      <c r="D93" s="44">
        <v>2024</v>
      </c>
      <c r="E93" s="44" t="s">
        <v>222</v>
      </c>
      <c r="F93" s="45" t="s">
        <v>223</v>
      </c>
      <c r="G93" s="46">
        <v>45558</v>
      </c>
      <c r="H93" s="46">
        <v>46575</v>
      </c>
      <c r="I93" s="47" t="s">
        <v>348</v>
      </c>
      <c r="J93" s="48">
        <v>50577</v>
      </c>
      <c r="K93" s="129" t="s">
        <v>404</v>
      </c>
      <c r="L93" s="8" t="s">
        <v>70</v>
      </c>
      <c r="M93" s="4" t="s">
        <v>225</v>
      </c>
      <c r="N93" s="45" t="s">
        <v>226</v>
      </c>
      <c r="O93" s="45" t="s">
        <v>42</v>
      </c>
      <c r="P93" s="49" t="s">
        <v>42</v>
      </c>
      <c r="Q93" s="49" t="s">
        <v>170</v>
      </c>
      <c r="R93" s="117" t="s">
        <v>350</v>
      </c>
      <c r="S93" s="51">
        <v>0.16830000000000001</v>
      </c>
      <c r="T93" s="51"/>
      <c r="U93" s="52">
        <v>3853480583.3899999</v>
      </c>
      <c r="V93" s="52"/>
      <c r="W93" s="53">
        <f>PROYECTOS_DIH[[#This Row],[VALOR DESEMBOLSOS PROYECTO]]/PROYECTOS_DIH[[#This Row],[Valor Proyecto Inicial.]]</f>
        <v>7.1441189302117708E-2</v>
      </c>
      <c r="X93" s="54">
        <v>275297235.82999998</v>
      </c>
      <c r="Y93" s="54" t="s">
        <v>1169</v>
      </c>
      <c r="Z93" s="55">
        <v>3863</v>
      </c>
      <c r="AA93" s="122" t="s">
        <v>405</v>
      </c>
      <c r="AB93" s="5" t="s">
        <v>1157</v>
      </c>
      <c r="AC93" s="56" t="s">
        <v>47</v>
      </c>
      <c r="AD93" s="59">
        <v>3.2697324390000002</v>
      </c>
      <c r="AE93" s="59">
        <v>-73.373743430000005</v>
      </c>
      <c r="AF93" s="5" t="s">
        <v>352</v>
      </c>
      <c r="AG93" s="120" t="s">
        <v>353</v>
      </c>
    </row>
    <row r="94" spans="1:33" s="99" customFormat="1" ht="11.4" customHeight="1" x14ac:dyDescent="0.3">
      <c r="A94" s="114" t="s">
        <v>221</v>
      </c>
      <c r="B94" s="43">
        <v>81</v>
      </c>
      <c r="C94" s="94">
        <v>16570</v>
      </c>
      <c r="D94" s="44">
        <v>2024</v>
      </c>
      <c r="E94" s="44" t="s">
        <v>222</v>
      </c>
      <c r="F94" s="45" t="s">
        <v>223</v>
      </c>
      <c r="G94" s="46">
        <v>45558</v>
      </c>
      <c r="H94" s="46">
        <v>46575</v>
      </c>
      <c r="I94" s="47" t="s">
        <v>386</v>
      </c>
      <c r="J94" s="48">
        <v>20443</v>
      </c>
      <c r="K94" s="127" t="s">
        <v>406</v>
      </c>
      <c r="L94" s="8" t="s">
        <v>70</v>
      </c>
      <c r="M94" s="4" t="s">
        <v>225</v>
      </c>
      <c r="N94" s="45" t="s">
        <v>226</v>
      </c>
      <c r="O94" s="49" t="s">
        <v>42</v>
      </c>
      <c r="P94" s="49"/>
      <c r="Q94" s="49" t="s">
        <v>59</v>
      </c>
      <c r="R94" s="117" t="s">
        <v>337</v>
      </c>
      <c r="S94" s="51">
        <v>1</v>
      </c>
      <c r="T94" s="51"/>
      <c r="U94" s="52">
        <v>3409464255.0700002</v>
      </c>
      <c r="V94" s="52"/>
      <c r="W94" s="53">
        <f>PROYECTOS_DIH[[#This Row],[VALOR DESEMBOLSOS PROYECTO]]/PROYECTOS_DIH[[#This Row],[Valor Proyecto Inicial.]]</f>
        <v>0.95434934983449338</v>
      </c>
      <c r="X94" s="10">
        <v>3253819995.1100001</v>
      </c>
      <c r="Y94" s="54" t="s">
        <v>1169</v>
      </c>
      <c r="Z94" s="55">
        <v>8032</v>
      </c>
      <c r="AA94" s="122" t="s">
        <v>407</v>
      </c>
      <c r="AB94" s="5" t="s">
        <v>1143</v>
      </c>
      <c r="AC94" s="56" t="s">
        <v>47</v>
      </c>
      <c r="AD94" s="59">
        <v>10.39089864</v>
      </c>
      <c r="AE94" s="59">
        <v>-73.028320460000003</v>
      </c>
      <c r="AF94" s="5" t="s">
        <v>389</v>
      </c>
      <c r="AG94" s="71" t="s">
        <v>64</v>
      </c>
    </row>
    <row r="95" spans="1:33" s="99" customFormat="1" ht="11.4" customHeight="1" x14ac:dyDescent="0.3">
      <c r="A95" s="114" t="s">
        <v>221</v>
      </c>
      <c r="B95" s="43">
        <v>82</v>
      </c>
      <c r="C95" s="94">
        <v>16571</v>
      </c>
      <c r="D95" s="44">
        <v>2024</v>
      </c>
      <c r="E95" s="44" t="s">
        <v>222</v>
      </c>
      <c r="F95" s="45" t="s">
        <v>223</v>
      </c>
      <c r="G95" s="46">
        <v>45558</v>
      </c>
      <c r="H95" s="46">
        <v>46575</v>
      </c>
      <c r="I95" s="4" t="s">
        <v>201</v>
      </c>
      <c r="J95" s="63">
        <v>13244</v>
      </c>
      <c r="K95" s="96" t="s">
        <v>408</v>
      </c>
      <c r="L95" s="8" t="s">
        <v>70</v>
      </c>
      <c r="M95" s="4" t="s">
        <v>225</v>
      </c>
      <c r="N95" s="45" t="s">
        <v>226</v>
      </c>
      <c r="O95" s="49" t="s">
        <v>42</v>
      </c>
      <c r="P95" s="49" t="s">
        <v>42</v>
      </c>
      <c r="Q95" s="49" t="s">
        <v>59</v>
      </c>
      <c r="R95" s="117" t="s">
        <v>337</v>
      </c>
      <c r="S95" s="51">
        <v>0.88460000000000005</v>
      </c>
      <c r="T95" s="51"/>
      <c r="U95" s="52">
        <v>3582367552.1500001</v>
      </c>
      <c r="V95" s="52"/>
      <c r="W95" s="53">
        <f>PROYECTOS_DIH[[#This Row],[VALOR DESEMBOLSOS PROYECTO]]/PROYECTOS_DIH[[#This Row],[Valor Proyecto Inicial.]]</f>
        <v>0.71047984478378501</v>
      </c>
      <c r="X95" s="54">
        <v>2545199942.4099998</v>
      </c>
      <c r="Y95" s="54" t="s">
        <v>1169</v>
      </c>
      <c r="Z95" s="55">
        <v>49990</v>
      </c>
      <c r="AA95" s="122" t="s">
        <v>409</v>
      </c>
      <c r="AB95" s="5" t="s">
        <v>1152</v>
      </c>
      <c r="AC95" s="56" t="s">
        <v>47</v>
      </c>
      <c r="AD95" s="59">
        <v>9.7185798640000005</v>
      </c>
      <c r="AE95" s="59">
        <v>-75.121215730000003</v>
      </c>
      <c r="AF95" s="5" t="s">
        <v>205</v>
      </c>
      <c r="AG95" s="71" t="s">
        <v>64</v>
      </c>
    </row>
    <row r="96" spans="1:33" s="99" customFormat="1" ht="11.4" customHeight="1" x14ac:dyDescent="0.3">
      <c r="A96" s="114" t="s">
        <v>221</v>
      </c>
      <c r="B96" s="43">
        <v>84</v>
      </c>
      <c r="C96" s="94">
        <v>16572</v>
      </c>
      <c r="D96" s="44">
        <v>2024</v>
      </c>
      <c r="E96" s="44" t="s">
        <v>222</v>
      </c>
      <c r="F96" s="45" t="s">
        <v>223</v>
      </c>
      <c r="G96" s="46">
        <v>45558</v>
      </c>
      <c r="H96" s="46">
        <v>46575</v>
      </c>
      <c r="I96" s="47" t="s">
        <v>386</v>
      </c>
      <c r="J96" s="48">
        <v>20013</v>
      </c>
      <c r="K96" s="96" t="s">
        <v>412</v>
      </c>
      <c r="L96" s="8" t="s">
        <v>70</v>
      </c>
      <c r="M96" s="4" t="s">
        <v>225</v>
      </c>
      <c r="N96" s="45" t="s">
        <v>226</v>
      </c>
      <c r="O96" s="49" t="s">
        <v>42</v>
      </c>
      <c r="P96" s="49" t="s">
        <v>42</v>
      </c>
      <c r="Q96" s="49" t="s">
        <v>78</v>
      </c>
      <c r="R96" s="117" t="s">
        <v>346</v>
      </c>
      <c r="S96" s="51">
        <v>1</v>
      </c>
      <c r="T96" s="51"/>
      <c r="U96" s="52">
        <v>4387148662.0699997</v>
      </c>
      <c r="V96" s="52"/>
      <c r="W96" s="53">
        <f>PROYECTOS_DIH[[#This Row],[VALOR DESEMBOLSOS PROYECTO]]/PROYECTOS_DIH[[#This Row],[Valor Proyecto Inicial.]]</f>
        <v>0.75441619113001712</v>
      </c>
      <c r="X96" s="10">
        <v>3309735983.5599999</v>
      </c>
      <c r="Y96" s="54" t="s">
        <v>1169</v>
      </c>
      <c r="Z96" s="55">
        <v>10000</v>
      </c>
      <c r="AA96" s="122" t="s">
        <v>413</v>
      </c>
      <c r="AB96" s="5" t="s">
        <v>1143</v>
      </c>
      <c r="AC96" s="56" t="s">
        <v>47</v>
      </c>
      <c r="AD96" s="59">
        <v>10.04045799</v>
      </c>
      <c r="AE96" s="59">
        <v>-73.238396170000001</v>
      </c>
      <c r="AF96" s="5" t="s">
        <v>389</v>
      </c>
      <c r="AG96" s="71" t="s">
        <v>64</v>
      </c>
    </row>
    <row r="97" spans="1:33" s="99" customFormat="1" ht="11.4" customHeight="1" x14ac:dyDescent="0.3">
      <c r="A97" s="114" t="s">
        <v>221</v>
      </c>
      <c r="B97" s="43">
        <v>85</v>
      </c>
      <c r="C97" s="94">
        <v>16573</v>
      </c>
      <c r="D97" s="44">
        <v>2024</v>
      </c>
      <c r="E97" s="44" t="s">
        <v>222</v>
      </c>
      <c r="F97" s="45" t="s">
        <v>223</v>
      </c>
      <c r="G97" s="46">
        <v>45558</v>
      </c>
      <c r="H97" s="46">
        <v>46575</v>
      </c>
      <c r="I97" s="47" t="s">
        <v>386</v>
      </c>
      <c r="J97" s="48">
        <v>20570</v>
      </c>
      <c r="K97" s="127" t="s">
        <v>414</v>
      </c>
      <c r="L97" s="8" t="s">
        <v>70</v>
      </c>
      <c r="M97" s="4" t="s">
        <v>225</v>
      </c>
      <c r="N97" s="45" t="s">
        <v>226</v>
      </c>
      <c r="O97" s="49" t="s">
        <v>42</v>
      </c>
      <c r="P97" s="49" t="s">
        <v>42</v>
      </c>
      <c r="Q97" s="49" t="s">
        <v>170</v>
      </c>
      <c r="R97" s="117" t="s">
        <v>350</v>
      </c>
      <c r="S97" s="51">
        <v>0.83250000000000002</v>
      </c>
      <c r="T97" s="51"/>
      <c r="U97" s="52">
        <v>4280891168.9499998</v>
      </c>
      <c r="V97" s="52"/>
      <c r="W97" s="53">
        <f>PROYECTOS_DIH[[#This Row],[VALOR DESEMBOLSOS PROYECTO]]/PROYECTOS_DIH[[#This Row],[Valor Proyecto Inicial.]]</f>
        <v>0.39205532361423195</v>
      </c>
      <c r="X97" s="10">
        <v>1678346172.5999999</v>
      </c>
      <c r="Y97" s="54" t="s">
        <v>1169</v>
      </c>
      <c r="Z97" s="55">
        <v>8326</v>
      </c>
      <c r="AA97" s="122" t="s">
        <v>415</v>
      </c>
      <c r="AB97" s="5" t="s">
        <v>1143</v>
      </c>
      <c r="AC97" s="56" t="s">
        <v>47</v>
      </c>
      <c r="AD97" s="59">
        <v>10.4150616</v>
      </c>
      <c r="AE97" s="59">
        <v>-73.589010619999996</v>
      </c>
      <c r="AF97" s="5" t="s">
        <v>389</v>
      </c>
      <c r="AG97" s="71" t="s">
        <v>64</v>
      </c>
    </row>
    <row r="98" spans="1:33" s="99" customFormat="1" ht="11.4" customHeight="1" x14ac:dyDescent="0.3">
      <c r="A98" s="114" t="s">
        <v>221</v>
      </c>
      <c r="B98" s="43">
        <v>86</v>
      </c>
      <c r="C98" s="94">
        <v>16574</v>
      </c>
      <c r="D98" s="44">
        <v>2024</v>
      </c>
      <c r="E98" s="44" t="s">
        <v>222</v>
      </c>
      <c r="F98" s="45" t="s">
        <v>223</v>
      </c>
      <c r="G98" s="46">
        <v>45558</v>
      </c>
      <c r="H98" s="46">
        <v>46575</v>
      </c>
      <c r="I98" s="47" t="s">
        <v>377</v>
      </c>
      <c r="J98" s="48">
        <v>86865</v>
      </c>
      <c r="K98" s="127" t="s">
        <v>416</v>
      </c>
      <c r="L98" s="8" t="s">
        <v>70</v>
      </c>
      <c r="M98" s="4" t="s">
        <v>225</v>
      </c>
      <c r="N98" s="45" t="s">
        <v>226</v>
      </c>
      <c r="O98" s="49" t="s">
        <v>42</v>
      </c>
      <c r="P98" s="49" t="s">
        <v>42</v>
      </c>
      <c r="Q98" s="49" t="s">
        <v>170</v>
      </c>
      <c r="R98" s="117" t="s">
        <v>350</v>
      </c>
      <c r="S98" s="51">
        <v>0.35</v>
      </c>
      <c r="T98" s="51"/>
      <c r="U98" s="52">
        <v>4973820302.4200001</v>
      </c>
      <c r="V98" s="52"/>
      <c r="W98" s="53">
        <f>PROYECTOS_DIH[[#This Row],[VALOR DESEMBOLSOS PROYECTO]]/PROYECTOS_DIH[[#This Row],[Valor Proyecto Inicial.]]</f>
        <v>0.10398136623640486</v>
      </c>
      <c r="X98" s="54">
        <v>517184630.45999998</v>
      </c>
      <c r="Y98" s="54" t="s">
        <v>1169</v>
      </c>
      <c r="Z98" s="55">
        <v>10000</v>
      </c>
      <c r="AA98" s="122" t="s">
        <v>417</v>
      </c>
      <c r="AB98" s="5" t="s">
        <v>1150</v>
      </c>
      <c r="AC98" s="56" t="s">
        <v>47</v>
      </c>
      <c r="AD98" s="59">
        <v>0.42390409299999998</v>
      </c>
      <c r="AE98" s="59">
        <v>-76.905968799999997</v>
      </c>
      <c r="AF98" s="5" t="s">
        <v>381</v>
      </c>
      <c r="AG98" s="81" t="s">
        <v>80</v>
      </c>
    </row>
    <row r="99" spans="1:33" s="99" customFormat="1" ht="11.4" customHeight="1" x14ac:dyDescent="0.3">
      <c r="A99" s="114" t="s">
        <v>221</v>
      </c>
      <c r="B99" s="43">
        <v>87</v>
      </c>
      <c r="C99" s="94">
        <v>16575</v>
      </c>
      <c r="D99" s="44">
        <v>2024</v>
      </c>
      <c r="E99" s="44" t="s">
        <v>222</v>
      </c>
      <c r="F99" s="45" t="s">
        <v>223</v>
      </c>
      <c r="G99" s="46">
        <v>45558</v>
      </c>
      <c r="H99" s="46">
        <v>46575</v>
      </c>
      <c r="I99" s="47" t="s">
        <v>268</v>
      </c>
      <c r="J99" s="48">
        <v>19455</v>
      </c>
      <c r="K99" s="127" t="s">
        <v>418</v>
      </c>
      <c r="L99" s="8" t="s">
        <v>70</v>
      </c>
      <c r="M99" s="4" t="s">
        <v>225</v>
      </c>
      <c r="N99" s="45" t="s">
        <v>226</v>
      </c>
      <c r="O99" s="45" t="s">
        <v>42</v>
      </c>
      <c r="P99" s="49" t="s">
        <v>42</v>
      </c>
      <c r="Q99" s="49" t="s">
        <v>170</v>
      </c>
      <c r="R99" s="117" t="s">
        <v>419</v>
      </c>
      <c r="S99" s="51">
        <v>3.3399999999999999E-2</v>
      </c>
      <c r="T99" s="51"/>
      <c r="U99" s="52">
        <v>5008107546.71</v>
      </c>
      <c r="V99" s="52"/>
      <c r="W99" s="53">
        <f>PROYECTOS_DIH[[#This Row],[VALOR DESEMBOLSOS PROYECTO]]/PROYECTOS_DIH[[#This Row],[Valor Proyecto Inicial.]]</f>
        <v>6.7656411496711888E-3</v>
      </c>
      <c r="X99" s="54">
        <v>33883058.5</v>
      </c>
      <c r="Y99" s="54" t="s">
        <v>1169</v>
      </c>
      <c r="Z99" s="55">
        <v>10000</v>
      </c>
      <c r="AA99" s="122" t="s">
        <v>420</v>
      </c>
      <c r="AB99" s="5" t="s">
        <v>1138</v>
      </c>
      <c r="AC99" s="56" t="s">
        <v>47</v>
      </c>
      <c r="AD99" s="59">
        <v>3.2530954049999998</v>
      </c>
      <c r="AE99" s="59">
        <v>-76.228869869999997</v>
      </c>
      <c r="AF99" s="5" t="s">
        <v>272</v>
      </c>
      <c r="AG99" s="77" t="s">
        <v>75</v>
      </c>
    </row>
    <row r="100" spans="1:33" s="99" customFormat="1" ht="11.4" customHeight="1" x14ac:dyDescent="0.3">
      <c r="A100" s="114" t="s">
        <v>221</v>
      </c>
      <c r="B100" s="43">
        <v>78</v>
      </c>
      <c r="C100" s="94">
        <v>16576</v>
      </c>
      <c r="D100" s="44">
        <v>2024</v>
      </c>
      <c r="E100" s="44" t="s">
        <v>222</v>
      </c>
      <c r="F100" s="45" t="s">
        <v>223</v>
      </c>
      <c r="G100" s="46">
        <v>45558</v>
      </c>
      <c r="H100" s="46">
        <v>46575</v>
      </c>
      <c r="I100" s="47" t="s">
        <v>189</v>
      </c>
      <c r="J100" s="48">
        <v>5107</v>
      </c>
      <c r="K100" s="96" t="s">
        <v>400</v>
      </c>
      <c r="L100" s="8" t="s">
        <v>70</v>
      </c>
      <c r="M100" s="4" t="s">
        <v>225</v>
      </c>
      <c r="N100" s="45" t="s">
        <v>226</v>
      </c>
      <c r="O100" s="45" t="s">
        <v>42</v>
      </c>
      <c r="P100" s="45"/>
      <c r="Q100" s="45" t="s">
        <v>120</v>
      </c>
      <c r="R100" s="50" t="s">
        <v>227</v>
      </c>
      <c r="S100" s="51">
        <v>0</v>
      </c>
      <c r="T100" s="51"/>
      <c r="U100" s="116">
        <v>0</v>
      </c>
      <c r="V100" s="116"/>
      <c r="W100" s="53" t="e">
        <f>PROYECTOS_DIH[[#This Row],[VALOR DESEMBOLSOS PROYECTO]]/PROYECTOS_DIH[[#This Row],[Valor Proyecto Inicial.]]</f>
        <v>#DIV/0!</v>
      </c>
      <c r="X100" s="54">
        <v>0</v>
      </c>
      <c r="Y100" s="54" t="s">
        <v>1169</v>
      </c>
      <c r="Z100" s="55">
        <v>16400</v>
      </c>
      <c r="AA100" s="57" t="s">
        <v>401</v>
      </c>
      <c r="AB100" s="5" t="s">
        <v>1149</v>
      </c>
      <c r="AC100" s="56" t="s">
        <v>47</v>
      </c>
      <c r="AD100" s="59">
        <v>7.1148829469999999</v>
      </c>
      <c r="AE100" s="59">
        <v>-75.548130220000004</v>
      </c>
      <c r="AF100" s="5" t="s">
        <v>191</v>
      </c>
      <c r="AG100" s="110" t="s">
        <v>49</v>
      </c>
    </row>
    <row r="101" spans="1:33" s="99" customFormat="1" ht="11.4" customHeight="1" x14ac:dyDescent="0.3">
      <c r="A101" s="114" t="s">
        <v>221</v>
      </c>
      <c r="B101" s="43">
        <v>270</v>
      </c>
      <c r="C101" s="94">
        <v>16577</v>
      </c>
      <c r="D101" s="44">
        <v>2024</v>
      </c>
      <c r="E101" s="44" t="s">
        <v>222</v>
      </c>
      <c r="F101" s="45" t="s">
        <v>223</v>
      </c>
      <c r="G101" s="46">
        <v>45558</v>
      </c>
      <c r="H101" s="46">
        <v>46575</v>
      </c>
      <c r="I101" s="47" t="s">
        <v>189</v>
      </c>
      <c r="J101" s="48">
        <v>5604</v>
      </c>
      <c r="K101" s="96" t="s">
        <v>897</v>
      </c>
      <c r="L101" s="8" t="s">
        <v>70</v>
      </c>
      <c r="M101" s="4" t="s">
        <v>225</v>
      </c>
      <c r="N101" s="45" t="s">
        <v>226</v>
      </c>
      <c r="O101" s="49" t="s">
        <v>42</v>
      </c>
      <c r="P101" s="49"/>
      <c r="Q101" s="45" t="s">
        <v>120</v>
      </c>
      <c r="R101" s="50" t="s">
        <v>227</v>
      </c>
      <c r="S101" s="51">
        <v>0</v>
      </c>
      <c r="T101" s="51"/>
      <c r="U101" s="116"/>
      <c r="V101" s="116"/>
      <c r="W101" s="53" t="e">
        <f>PROYECTOS_DIH[[#This Row],[VALOR DESEMBOLSOS PROYECTO]]/PROYECTOS_DIH[[#This Row],[Valor Proyecto Inicial.]]</f>
        <v>#DIV/0!</v>
      </c>
      <c r="X101" s="54">
        <v>0</v>
      </c>
      <c r="Y101" s="54" t="s">
        <v>1169</v>
      </c>
      <c r="Z101" s="55">
        <v>16400</v>
      </c>
      <c r="AA101" s="57" t="s">
        <v>898</v>
      </c>
      <c r="AB101" s="5" t="s">
        <v>1149</v>
      </c>
      <c r="AC101" s="56" t="s">
        <v>47</v>
      </c>
      <c r="AD101" s="59">
        <v>7.0260940529999996</v>
      </c>
      <c r="AE101" s="59">
        <v>-74.695944260000005</v>
      </c>
      <c r="AF101" s="5" t="s">
        <v>191</v>
      </c>
      <c r="AG101" s="110" t="s">
        <v>49</v>
      </c>
    </row>
    <row r="102" spans="1:33" s="99" customFormat="1" ht="11.4" customHeight="1" x14ac:dyDescent="0.3">
      <c r="A102" s="114" t="s">
        <v>221</v>
      </c>
      <c r="B102" s="43">
        <v>89</v>
      </c>
      <c r="C102" s="94">
        <v>16578</v>
      </c>
      <c r="D102" s="44">
        <v>2024</v>
      </c>
      <c r="E102" s="44" t="s">
        <v>222</v>
      </c>
      <c r="F102" s="45" t="s">
        <v>223</v>
      </c>
      <c r="G102" s="46">
        <v>45558</v>
      </c>
      <c r="H102" s="46">
        <v>46575</v>
      </c>
      <c r="I102" s="47" t="s">
        <v>166</v>
      </c>
      <c r="J102" s="115">
        <v>41020</v>
      </c>
      <c r="K102" s="96" t="s">
        <v>173</v>
      </c>
      <c r="L102" s="8" t="s">
        <v>70</v>
      </c>
      <c r="M102" s="4" t="s">
        <v>225</v>
      </c>
      <c r="N102" s="45" t="s">
        <v>226</v>
      </c>
      <c r="O102" s="45" t="s">
        <v>42</v>
      </c>
      <c r="P102" s="49" t="s">
        <v>42</v>
      </c>
      <c r="Q102" s="49" t="s">
        <v>170</v>
      </c>
      <c r="R102" s="117" t="s">
        <v>350</v>
      </c>
      <c r="S102" s="51">
        <v>0.3</v>
      </c>
      <c r="T102" s="51"/>
      <c r="U102" s="52">
        <v>3387489948.3899999</v>
      </c>
      <c r="V102" s="52"/>
      <c r="W102" s="53">
        <f>PROYECTOS_DIH[[#This Row],[VALOR DESEMBOLSOS PROYECTO]]/PROYECTOS_DIH[[#This Row],[Valor Proyecto Inicial.]]</f>
        <v>0.25670871363715814</v>
      </c>
      <c r="X102" s="54">
        <v>869598187.11000001</v>
      </c>
      <c r="Y102" s="54" t="s">
        <v>1169</v>
      </c>
      <c r="Z102" s="55">
        <v>9973</v>
      </c>
      <c r="AA102" s="57" t="s">
        <v>426</v>
      </c>
      <c r="AB102" s="5" t="s">
        <v>1155</v>
      </c>
      <c r="AC102" s="56" t="s">
        <v>47</v>
      </c>
      <c r="AD102" s="59">
        <v>2.5224475970000002</v>
      </c>
      <c r="AE102" s="59">
        <v>-75.315372879999998</v>
      </c>
      <c r="AF102" s="5" t="s">
        <v>172</v>
      </c>
      <c r="AG102" s="81" t="s">
        <v>80</v>
      </c>
    </row>
    <row r="103" spans="1:33" s="99" customFormat="1" ht="11.4" customHeight="1" x14ac:dyDescent="0.3">
      <c r="A103" s="114" t="s">
        <v>221</v>
      </c>
      <c r="B103" s="43">
        <v>90</v>
      </c>
      <c r="C103" s="94">
        <v>16579</v>
      </c>
      <c r="D103" s="44">
        <v>2024</v>
      </c>
      <c r="E103" s="44" t="s">
        <v>222</v>
      </c>
      <c r="F103" s="45" t="s">
        <v>223</v>
      </c>
      <c r="G103" s="46">
        <v>45558</v>
      </c>
      <c r="H103" s="46">
        <v>46575</v>
      </c>
      <c r="I103" s="47" t="s">
        <v>176</v>
      </c>
      <c r="J103" s="48">
        <v>54344</v>
      </c>
      <c r="K103" s="127" t="s">
        <v>427</v>
      </c>
      <c r="L103" s="8" t="s">
        <v>70</v>
      </c>
      <c r="M103" s="4" t="s">
        <v>225</v>
      </c>
      <c r="N103" s="45" t="s">
        <v>226</v>
      </c>
      <c r="O103" s="49" t="s">
        <v>42</v>
      </c>
      <c r="P103" s="49"/>
      <c r="Q103" s="49" t="s">
        <v>44</v>
      </c>
      <c r="R103" s="117" t="s">
        <v>379</v>
      </c>
      <c r="S103" s="51">
        <v>0</v>
      </c>
      <c r="T103" s="51"/>
      <c r="U103" s="52">
        <v>4056596731.6399999</v>
      </c>
      <c r="V103" s="52"/>
      <c r="W103" s="53">
        <f>PROYECTOS_DIH[[#This Row],[VALOR DESEMBOLSOS PROYECTO]]/PROYECTOS_DIH[[#This Row],[Valor Proyecto Inicial.]]</f>
        <v>5.7318423935621967E-3</v>
      </c>
      <c r="X103" s="54">
        <v>23251773.120000001</v>
      </c>
      <c r="Y103" s="54" t="s">
        <v>1169</v>
      </c>
      <c r="Z103" s="55">
        <v>16400</v>
      </c>
      <c r="AA103" s="122" t="s">
        <v>428</v>
      </c>
      <c r="AB103" s="5" t="s">
        <v>1136</v>
      </c>
      <c r="AC103" s="56" t="s">
        <v>47</v>
      </c>
      <c r="AD103" s="59">
        <v>8.3217145620000004</v>
      </c>
      <c r="AE103" s="59">
        <v>-73.145975350000001</v>
      </c>
      <c r="AF103" s="5" t="s">
        <v>180</v>
      </c>
      <c r="AG103" s="93" t="s">
        <v>110</v>
      </c>
    </row>
    <row r="104" spans="1:33" s="99" customFormat="1" ht="11.4" customHeight="1" x14ac:dyDescent="0.3">
      <c r="A104" s="114" t="s">
        <v>221</v>
      </c>
      <c r="B104" s="43">
        <v>91</v>
      </c>
      <c r="C104" s="94">
        <v>16580</v>
      </c>
      <c r="D104" s="44">
        <v>2024</v>
      </c>
      <c r="E104" s="44" t="s">
        <v>222</v>
      </c>
      <c r="F104" s="45" t="s">
        <v>223</v>
      </c>
      <c r="G104" s="46">
        <v>45558</v>
      </c>
      <c r="H104" s="46">
        <v>46575</v>
      </c>
      <c r="I104" s="47" t="s">
        <v>189</v>
      </c>
      <c r="J104" s="48">
        <v>5031</v>
      </c>
      <c r="K104" s="127" t="s">
        <v>429</v>
      </c>
      <c r="L104" s="8" t="s">
        <v>70</v>
      </c>
      <c r="M104" s="4" t="s">
        <v>225</v>
      </c>
      <c r="N104" s="45" t="s">
        <v>226</v>
      </c>
      <c r="O104" s="49" t="s">
        <v>42</v>
      </c>
      <c r="P104" s="49" t="s">
        <v>42</v>
      </c>
      <c r="Q104" s="49" t="s">
        <v>59</v>
      </c>
      <c r="R104" s="117" t="s">
        <v>337</v>
      </c>
      <c r="S104" s="51">
        <v>0.96279999999999999</v>
      </c>
      <c r="T104" s="51"/>
      <c r="U104" s="128" t="s">
        <v>430</v>
      </c>
      <c r="V104" s="128"/>
      <c r="W104" s="53">
        <f>PROYECTOS_DIH[[#This Row],[VALOR DESEMBOLSOS PROYECTO]]/PROYECTOS_DIH[[#This Row],[Valor Proyecto Inicial.]]</f>
        <v>0.8416408453770059</v>
      </c>
      <c r="X104" s="54">
        <v>5512786631.1000004</v>
      </c>
      <c r="Y104" s="54" t="s">
        <v>1169</v>
      </c>
      <c r="Z104" s="55">
        <v>10000</v>
      </c>
      <c r="AA104" s="122" t="s">
        <v>431</v>
      </c>
      <c r="AB104" s="5" t="s">
        <v>1149</v>
      </c>
      <c r="AC104" s="56" t="s">
        <v>47</v>
      </c>
      <c r="AD104" s="59">
        <v>6.9123047260000003</v>
      </c>
      <c r="AE104" s="59">
        <v>-75.082524280000001</v>
      </c>
      <c r="AF104" s="5" t="s">
        <v>191</v>
      </c>
      <c r="AG104" s="110" t="s">
        <v>49</v>
      </c>
    </row>
    <row r="105" spans="1:33" s="99" customFormat="1" ht="11.4" customHeight="1" x14ac:dyDescent="0.3">
      <c r="A105" s="114" t="s">
        <v>221</v>
      </c>
      <c r="B105" s="43">
        <v>269</v>
      </c>
      <c r="C105" s="94">
        <v>16581</v>
      </c>
      <c r="D105" s="44">
        <v>2024</v>
      </c>
      <c r="E105" s="44" t="s">
        <v>222</v>
      </c>
      <c r="F105" s="45" t="s">
        <v>223</v>
      </c>
      <c r="G105" s="46">
        <v>45558</v>
      </c>
      <c r="H105" s="46">
        <v>46575</v>
      </c>
      <c r="I105" s="47" t="s">
        <v>37</v>
      </c>
      <c r="J105" s="48">
        <v>27001</v>
      </c>
      <c r="K105" s="96" t="s">
        <v>840</v>
      </c>
      <c r="L105" s="8" t="s">
        <v>70</v>
      </c>
      <c r="M105" s="4" t="s">
        <v>225</v>
      </c>
      <c r="N105" s="45" t="s">
        <v>226</v>
      </c>
      <c r="O105" s="45" t="s">
        <v>42</v>
      </c>
      <c r="P105" s="45"/>
      <c r="Q105" s="49" t="s">
        <v>120</v>
      </c>
      <c r="R105" s="117" t="s">
        <v>894</v>
      </c>
      <c r="S105" s="51">
        <v>0</v>
      </c>
      <c r="T105" s="51"/>
      <c r="U105" s="118">
        <v>3500000000</v>
      </c>
      <c r="V105" s="118"/>
      <c r="W105" s="53">
        <f>PROYECTOS_DIH[[#This Row],[VALOR DESEMBOLSOS PROYECTO]]/PROYECTOS_DIH[[#This Row],[Valor Proyecto Inicial.]]</f>
        <v>0</v>
      </c>
      <c r="X105" s="54">
        <v>0</v>
      </c>
      <c r="Y105" s="54" t="s">
        <v>1169</v>
      </c>
      <c r="Z105" s="55">
        <v>16400</v>
      </c>
      <c r="AA105" s="57" t="s">
        <v>895</v>
      </c>
      <c r="AB105" s="5" t="s">
        <v>1166</v>
      </c>
      <c r="AC105" s="56" t="s">
        <v>96</v>
      </c>
      <c r="AD105" s="59">
        <v>5.6921951870000003</v>
      </c>
      <c r="AE105" s="59">
        <v>-76.625969359999999</v>
      </c>
      <c r="AF105" s="5" t="s">
        <v>581</v>
      </c>
      <c r="AG105" s="77" t="s">
        <v>75</v>
      </c>
    </row>
    <row r="106" spans="1:33" s="99" customFormat="1" ht="11.4" customHeight="1" x14ac:dyDescent="0.3">
      <c r="A106" s="114" t="s">
        <v>221</v>
      </c>
      <c r="B106" s="43">
        <v>92</v>
      </c>
      <c r="C106" s="94">
        <v>16582</v>
      </c>
      <c r="D106" s="44">
        <v>2024</v>
      </c>
      <c r="E106" s="44" t="s">
        <v>222</v>
      </c>
      <c r="F106" s="45" t="s">
        <v>223</v>
      </c>
      <c r="G106" s="46">
        <v>45558</v>
      </c>
      <c r="H106" s="46">
        <v>46575</v>
      </c>
      <c r="I106" s="4" t="s">
        <v>201</v>
      </c>
      <c r="J106" s="63">
        <v>13894</v>
      </c>
      <c r="K106" s="127" t="s">
        <v>432</v>
      </c>
      <c r="L106" s="8" t="s">
        <v>70</v>
      </c>
      <c r="M106" s="4" t="s">
        <v>225</v>
      </c>
      <c r="N106" s="45" t="s">
        <v>226</v>
      </c>
      <c r="O106" s="49" t="s">
        <v>42</v>
      </c>
      <c r="P106" s="49" t="s">
        <v>42</v>
      </c>
      <c r="Q106" s="49" t="s">
        <v>170</v>
      </c>
      <c r="R106" s="117" t="s">
        <v>350</v>
      </c>
      <c r="S106" s="51">
        <v>0.74819999999999998</v>
      </c>
      <c r="T106" s="51"/>
      <c r="U106" s="52">
        <v>4671510733.5299997</v>
      </c>
      <c r="V106" s="52"/>
      <c r="W106" s="53">
        <f>PROYECTOS_DIH[[#This Row],[VALOR DESEMBOLSOS PROYECTO]]/PROYECTOS_DIH[[#This Row],[Valor Proyecto Inicial.]]</f>
        <v>0.70739713467443721</v>
      </c>
      <c r="X106" s="10">
        <v>3304613307.5</v>
      </c>
      <c r="Y106" s="54" t="s">
        <v>1169</v>
      </c>
      <c r="Z106" s="55">
        <v>10278</v>
      </c>
      <c r="AA106" s="122" t="s">
        <v>433</v>
      </c>
      <c r="AB106" s="5" t="s">
        <v>1152</v>
      </c>
      <c r="AC106" s="56" t="s">
        <v>47</v>
      </c>
      <c r="AD106" s="59">
        <v>9.7469138999999991</v>
      </c>
      <c r="AE106" s="59">
        <v>-74.813839599999994</v>
      </c>
      <c r="AF106" s="5" t="s">
        <v>205</v>
      </c>
      <c r="AG106" s="71" t="s">
        <v>64</v>
      </c>
    </row>
    <row r="107" spans="1:33" s="99" customFormat="1" ht="11.4" customHeight="1" x14ac:dyDescent="0.3">
      <c r="A107" s="114" t="s">
        <v>221</v>
      </c>
      <c r="B107" s="43">
        <v>93</v>
      </c>
      <c r="C107" s="94">
        <v>16583</v>
      </c>
      <c r="D107" s="44">
        <v>2024</v>
      </c>
      <c r="E107" s="44" t="s">
        <v>222</v>
      </c>
      <c r="F107" s="45" t="s">
        <v>223</v>
      </c>
      <c r="G107" s="46">
        <v>45558</v>
      </c>
      <c r="H107" s="46">
        <v>46575</v>
      </c>
      <c r="I107" s="4" t="s">
        <v>201</v>
      </c>
      <c r="J107" s="63">
        <v>13212</v>
      </c>
      <c r="K107" s="96" t="s">
        <v>141</v>
      </c>
      <c r="L107" s="8" t="s">
        <v>70</v>
      </c>
      <c r="M107" s="4" t="s">
        <v>225</v>
      </c>
      <c r="N107" s="45" t="s">
        <v>226</v>
      </c>
      <c r="O107" s="49" t="s">
        <v>42</v>
      </c>
      <c r="P107" s="49" t="s">
        <v>42</v>
      </c>
      <c r="Q107" s="49" t="s">
        <v>59</v>
      </c>
      <c r="R107" s="117" t="s">
        <v>337</v>
      </c>
      <c r="S107" s="51">
        <v>0.83450000000000002</v>
      </c>
      <c r="T107" s="51"/>
      <c r="U107" s="52">
        <v>5078737836.4700003</v>
      </c>
      <c r="V107" s="52"/>
      <c r="W107" s="53">
        <f>PROYECTOS_DIH[[#This Row],[VALOR DESEMBOLSOS PROYECTO]]/PROYECTOS_DIH[[#This Row],[Valor Proyecto Inicial.]]</f>
        <v>0.74576472681892736</v>
      </c>
      <c r="X107" s="54">
        <v>3787543535.1999998</v>
      </c>
      <c r="Y107" s="54" t="s">
        <v>1169</v>
      </c>
      <c r="Z107" s="55">
        <v>4173</v>
      </c>
      <c r="AA107" s="122" t="s">
        <v>393</v>
      </c>
      <c r="AB107" s="5" t="s">
        <v>1152</v>
      </c>
      <c r="AC107" s="56" t="s">
        <v>47</v>
      </c>
      <c r="AD107" s="59">
        <v>9.5869079179999996</v>
      </c>
      <c r="AE107" s="59">
        <v>-74.827462629999999</v>
      </c>
      <c r="AF107" s="5" t="s">
        <v>205</v>
      </c>
      <c r="AG107" s="71" t="s">
        <v>64</v>
      </c>
    </row>
    <row r="108" spans="1:33" s="99" customFormat="1" ht="11.4" customHeight="1" x14ac:dyDescent="0.3">
      <c r="A108" s="114" t="s">
        <v>221</v>
      </c>
      <c r="B108" s="43">
        <v>94</v>
      </c>
      <c r="C108" s="94">
        <v>16584</v>
      </c>
      <c r="D108" s="44">
        <v>2024</v>
      </c>
      <c r="E108" s="44" t="s">
        <v>222</v>
      </c>
      <c r="F108" s="45" t="s">
        <v>223</v>
      </c>
      <c r="G108" s="46">
        <v>45558</v>
      </c>
      <c r="H108" s="46">
        <v>46575</v>
      </c>
      <c r="I108" s="45" t="s">
        <v>141</v>
      </c>
      <c r="J108" s="98">
        <v>23855</v>
      </c>
      <c r="K108" s="127" t="s">
        <v>434</v>
      </c>
      <c r="L108" s="8" t="s">
        <v>70</v>
      </c>
      <c r="M108" s="4" t="s">
        <v>225</v>
      </c>
      <c r="N108" s="45" t="s">
        <v>226</v>
      </c>
      <c r="O108" s="49" t="s">
        <v>42</v>
      </c>
      <c r="P108" s="49"/>
      <c r="Q108" s="49" t="s">
        <v>78</v>
      </c>
      <c r="R108" s="117" t="s">
        <v>346</v>
      </c>
      <c r="S108" s="51">
        <v>1</v>
      </c>
      <c r="T108" s="51"/>
      <c r="U108" s="52">
        <v>3123113904.5</v>
      </c>
      <c r="V108" s="52"/>
      <c r="W108" s="53">
        <f>PROYECTOS_DIH[[#This Row],[VALOR DESEMBOLSOS PROYECTO]]/PROYECTOS_DIH[[#This Row],[Valor Proyecto Inicial.]]</f>
        <v>0.9768721010636453</v>
      </c>
      <c r="X108" s="14">
        <v>3050882841.75</v>
      </c>
      <c r="Y108" s="54" t="s">
        <v>1169</v>
      </c>
      <c r="Z108" s="55">
        <v>10000</v>
      </c>
      <c r="AA108" s="57" t="s">
        <v>435</v>
      </c>
      <c r="AB108" s="5" t="s">
        <v>1142</v>
      </c>
      <c r="AC108" s="56" t="s">
        <v>47</v>
      </c>
      <c r="AD108" s="59">
        <v>8.2550165839999998</v>
      </c>
      <c r="AE108" s="59">
        <v>-76.150718690000005</v>
      </c>
      <c r="AF108" s="5" t="s">
        <v>145</v>
      </c>
      <c r="AG108" s="71" t="s">
        <v>64</v>
      </c>
    </row>
    <row r="109" spans="1:33" s="99" customFormat="1" ht="11.4" customHeight="1" x14ac:dyDescent="0.3">
      <c r="A109" s="114" t="s">
        <v>221</v>
      </c>
      <c r="B109" s="43">
        <v>95</v>
      </c>
      <c r="C109" s="94">
        <v>16585</v>
      </c>
      <c r="D109" s="44">
        <v>2024</v>
      </c>
      <c r="E109" s="44" t="s">
        <v>222</v>
      </c>
      <c r="F109" s="45" t="s">
        <v>223</v>
      </c>
      <c r="G109" s="46">
        <v>45558</v>
      </c>
      <c r="H109" s="46">
        <v>46575</v>
      </c>
      <c r="I109" s="47" t="s">
        <v>68</v>
      </c>
      <c r="J109" s="115">
        <v>76275</v>
      </c>
      <c r="K109" s="96" t="s">
        <v>82</v>
      </c>
      <c r="L109" s="8" t="s">
        <v>70</v>
      </c>
      <c r="M109" s="4" t="s">
        <v>225</v>
      </c>
      <c r="N109" s="45" t="s">
        <v>226</v>
      </c>
      <c r="O109" s="49" t="s">
        <v>42</v>
      </c>
      <c r="P109" s="49" t="s">
        <v>42</v>
      </c>
      <c r="Q109" s="49" t="s">
        <v>170</v>
      </c>
      <c r="R109" s="117" t="s">
        <v>343</v>
      </c>
      <c r="S109" s="51">
        <v>0.2</v>
      </c>
      <c r="T109" s="51"/>
      <c r="U109" s="52">
        <v>3420441384.0799999</v>
      </c>
      <c r="V109" s="52"/>
      <c r="W109" s="53">
        <f>PROYECTOS_DIH[[#This Row],[VALOR DESEMBOLSOS PROYECTO]]/PROYECTOS_DIH[[#This Row],[Valor Proyecto Inicial.]]</f>
        <v>0.2225854380091295</v>
      </c>
      <c r="X109" s="54">
        <v>761340443.65999997</v>
      </c>
      <c r="Y109" s="54" t="s">
        <v>1169</v>
      </c>
      <c r="Z109" s="55">
        <v>10000</v>
      </c>
      <c r="AA109" s="122" t="s">
        <v>436</v>
      </c>
      <c r="AB109" s="5" t="s">
        <v>1137</v>
      </c>
      <c r="AC109" s="56" t="s">
        <v>47</v>
      </c>
      <c r="AD109" s="59">
        <v>3.3239181059999998</v>
      </c>
      <c r="AE109" s="59">
        <v>-76.234501739999999</v>
      </c>
      <c r="AF109" s="5" t="s">
        <v>74</v>
      </c>
      <c r="AG109" s="77" t="s">
        <v>75</v>
      </c>
    </row>
    <row r="110" spans="1:33" s="99" customFormat="1" ht="11.4" customHeight="1" x14ac:dyDescent="0.3">
      <c r="A110" s="114" t="s">
        <v>221</v>
      </c>
      <c r="B110" s="43">
        <v>96</v>
      </c>
      <c r="C110" s="94">
        <v>16586</v>
      </c>
      <c r="D110" s="44">
        <v>2024</v>
      </c>
      <c r="E110" s="44" t="s">
        <v>222</v>
      </c>
      <c r="F110" s="45" t="s">
        <v>223</v>
      </c>
      <c r="G110" s="46">
        <v>45558</v>
      </c>
      <c r="H110" s="46">
        <v>46575</v>
      </c>
      <c r="I110" s="5" t="s">
        <v>437</v>
      </c>
      <c r="J110" s="82">
        <v>94001</v>
      </c>
      <c r="K110" s="96" t="s">
        <v>438</v>
      </c>
      <c r="L110" s="8" t="s">
        <v>70</v>
      </c>
      <c r="M110" s="4" t="s">
        <v>225</v>
      </c>
      <c r="N110" s="45" t="s">
        <v>226</v>
      </c>
      <c r="O110" s="45" t="s">
        <v>42</v>
      </c>
      <c r="P110" s="49" t="s">
        <v>42</v>
      </c>
      <c r="Q110" s="49" t="s">
        <v>170</v>
      </c>
      <c r="R110" s="117" t="s">
        <v>419</v>
      </c>
      <c r="S110" s="51">
        <v>0.53500000000000003</v>
      </c>
      <c r="T110" s="51"/>
      <c r="U110" s="52">
        <v>3753117881.3499999</v>
      </c>
      <c r="V110" s="52"/>
      <c r="W110" s="53">
        <f>PROYECTOS_DIH[[#This Row],[VALOR DESEMBOLSOS PROYECTO]]/PROYECTOS_DIH[[#This Row],[Valor Proyecto Inicial.]]</f>
        <v>0.35293826187082977</v>
      </c>
      <c r="X110" s="54">
        <v>1324618901.6400001</v>
      </c>
      <c r="Y110" s="54" t="s">
        <v>1169</v>
      </c>
      <c r="Z110" s="55">
        <v>10000</v>
      </c>
      <c r="AA110" s="122" t="s">
        <v>439</v>
      </c>
      <c r="AB110" s="5" t="s">
        <v>1147</v>
      </c>
      <c r="AC110" s="56" t="s">
        <v>62</v>
      </c>
      <c r="AD110" s="59">
        <v>3.8661616190000001</v>
      </c>
      <c r="AE110" s="59">
        <v>-67.918836839999997</v>
      </c>
      <c r="AF110" s="5" t="s">
        <v>440</v>
      </c>
      <c r="AG110" s="109" t="s">
        <v>188</v>
      </c>
    </row>
    <row r="111" spans="1:33" s="99" customFormat="1" ht="11.4" customHeight="1" x14ac:dyDescent="0.3">
      <c r="A111" s="114" t="s">
        <v>221</v>
      </c>
      <c r="B111" s="43">
        <v>97</v>
      </c>
      <c r="C111" s="94">
        <v>16587</v>
      </c>
      <c r="D111" s="44">
        <v>2024</v>
      </c>
      <c r="E111" s="44" t="s">
        <v>222</v>
      </c>
      <c r="F111" s="45" t="s">
        <v>223</v>
      </c>
      <c r="G111" s="46">
        <v>45558</v>
      </c>
      <c r="H111" s="46">
        <v>46575</v>
      </c>
      <c r="I111" s="47" t="s">
        <v>149</v>
      </c>
      <c r="J111" s="48">
        <v>47288</v>
      </c>
      <c r="K111" s="127" t="s">
        <v>441</v>
      </c>
      <c r="L111" s="8" t="s">
        <v>70</v>
      </c>
      <c r="M111" s="4" t="s">
        <v>225</v>
      </c>
      <c r="N111" s="45" t="s">
        <v>226</v>
      </c>
      <c r="O111" s="45" t="s">
        <v>42</v>
      </c>
      <c r="P111" s="49" t="s">
        <v>42</v>
      </c>
      <c r="Q111" s="49" t="s">
        <v>59</v>
      </c>
      <c r="R111" s="117" t="s">
        <v>337</v>
      </c>
      <c r="S111" s="51">
        <v>0.9929</v>
      </c>
      <c r="T111" s="51"/>
      <c r="U111" s="52">
        <v>4780619600.3999996</v>
      </c>
      <c r="V111" s="52"/>
      <c r="W111" s="53">
        <f>PROYECTOS_DIH[[#This Row],[VALOR DESEMBOLSOS PROYECTO]]/PROYECTOS_DIH[[#This Row],[Valor Proyecto Inicial.]]</f>
        <v>0.81315028517113985</v>
      </c>
      <c r="X111" s="54">
        <v>3887362191.3600001</v>
      </c>
      <c r="Y111" s="54" t="s">
        <v>1169</v>
      </c>
      <c r="Z111" s="55">
        <v>10000</v>
      </c>
      <c r="AA111" s="122" t="s">
        <v>442</v>
      </c>
      <c r="AB111" s="5" t="s">
        <v>1139</v>
      </c>
      <c r="AC111" s="56" t="s">
        <v>47</v>
      </c>
      <c r="AD111" s="59">
        <v>10.514092399999999</v>
      </c>
      <c r="AE111" s="59">
        <v>-74.191343459999999</v>
      </c>
      <c r="AF111" s="5" t="s">
        <v>150</v>
      </c>
      <c r="AG111" s="71" t="s">
        <v>64</v>
      </c>
    </row>
    <row r="112" spans="1:33" s="99" customFormat="1" ht="11.4" customHeight="1" x14ac:dyDescent="0.3">
      <c r="A112" s="114" t="s">
        <v>221</v>
      </c>
      <c r="B112" s="43">
        <v>169</v>
      </c>
      <c r="C112" s="94">
        <v>16588</v>
      </c>
      <c r="D112" s="44">
        <v>2024</v>
      </c>
      <c r="E112" s="44" t="s">
        <v>222</v>
      </c>
      <c r="F112" s="45" t="s">
        <v>223</v>
      </c>
      <c r="G112" s="46">
        <v>45558</v>
      </c>
      <c r="H112" s="46">
        <v>46575</v>
      </c>
      <c r="I112" s="47" t="s">
        <v>268</v>
      </c>
      <c r="J112" s="48">
        <v>19256</v>
      </c>
      <c r="K112" s="96" t="s">
        <v>585</v>
      </c>
      <c r="L112" s="8" t="s">
        <v>70</v>
      </c>
      <c r="M112" s="4" t="s">
        <v>225</v>
      </c>
      <c r="N112" s="45" t="s">
        <v>226</v>
      </c>
      <c r="O112" s="49" t="s">
        <v>42</v>
      </c>
      <c r="P112" s="49"/>
      <c r="Q112" s="45" t="s">
        <v>120</v>
      </c>
      <c r="R112" s="50" t="s">
        <v>227</v>
      </c>
      <c r="S112" s="51">
        <v>0</v>
      </c>
      <c r="T112" s="51"/>
      <c r="U112" s="118"/>
      <c r="V112" s="118"/>
      <c r="W112" s="53" t="e">
        <f>PROYECTOS_DIH[[#This Row],[VALOR DESEMBOLSOS PROYECTO]]/PROYECTOS_DIH[[#This Row],[Valor Proyecto Inicial.]]</f>
        <v>#DIV/0!</v>
      </c>
      <c r="X112" s="54">
        <v>0</v>
      </c>
      <c r="Y112" s="54" t="s">
        <v>1169</v>
      </c>
      <c r="Z112" s="55">
        <v>16400</v>
      </c>
      <c r="AA112" s="57" t="s">
        <v>586</v>
      </c>
      <c r="AB112" s="5" t="s">
        <v>1138</v>
      </c>
      <c r="AC112" s="56" t="s">
        <v>47</v>
      </c>
      <c r="AD112" s="59">
        <v>2.45137136</v>
      </c>
      <c r="AE112" s="59">
        <v>-76.810772249999999</v>
      </c>
      <c r="AF112" s="5" t="s">
        <v>272</v>
      </c>
      <c r="AG112" s="77" t="s">
        <v>75</v>
      </c>
    </row>
    <row r="113" spans="1:33" s="99" customFormat="1" ht="11.4" customHeight="1" x14ac:dyDescent="0.3">
      <c r="A113" s="114" t="s">
        <v>221</v>
      </c>
      <c r="B113" s="43">
        <v>98</v>
      </c>
      <c r="C113" s="94">
        <v>16589</v>
      </c>
      <c r="D113" s="44">
        <v>2024</v>
      </c>
      <c r="E113" s="44" t="s">
        <v>222</v>
      </c>
      <c r="F113" s="45" t="s">
        <v>223</v>
      </c>
      <c r="G113" s="46">
        <v>45558</v>
      </c>
      <c r="H113" s="46">
        <v>46575</v>
      </c>
      <c r="I113" s="47" t="s">
        <v>68</v>
      </c>
      <c r="J113" s="48">
        <v>76563</v>
      </c>
      <c r="K113" s="127" t="s">
        <v>443</v>
      </c>
      <c r="L113" s="8" t="s">
        <v>70</v>
      </c>
      <c r="M113" s="4" t="s">
        <v>225</v>
      </c>
      <c r="N113" s="45" t="s">
        <v>226</v>
      </c>
      <c r="O113" s="49" t="s">
        <v>42</v>
      </c>
      <c r="P113" s="49" t="s">
        <v>42</v>
      </c>
      <c r="Q113" s="49" t="s">
        <v>170</v>
      </c>
      <c r="R113" s="117" t="s">
        <v>350</v>
      </c>
      <c r="S113" s="51">
        <v>0.16</v>
      </c>
      <c r="T113" s="51"/>
      <c r="U113" s="52">
        <v>3458868210.5100002</v>
      </c>
      <c r="V113" s="52"/>
      <c r="W113" s="53">
        <f>PROYECTOS_DIH[[#This Row],[VALOR DESEMBOLSOS PROYECTO]]/PROYECTOS_DIH[[#This Row],[Valor Proyecto Inicial.]]</f>
        <v>0.18746614783984272</v>
      </c>
      <c r="X113" s="54">
        <v>648420699.30999994</v>
      </c>
      <c r="Y113" s="54" t="s">
        <v>1169</v>
      </c>
      <c r="Z113" s="55">
        <v>10000</v>
      </c>
      <c r="AA113" s="122" t="s">
        <v>444</v>
      </c>
      <c r="AB113" s="5" t="s">
        <v>1137</v>
      </c>
      <c r="AC113" s="56" t="s">
        <v>47</v>
      </c>
      <c r="AD113" s="59">
        <v>3.4198274089999998</v>
      </c>
      <c r="AE113" s="59">
        <v>-76.241820230000002</v>
      </c>
      <c r="AF113" s="5" t="s">
        <v>74</v>
      </c>
      <c r="AG113" s="77" t="s">
        <v>75</v>
      </c>
    </row>
    <row r="114" spans="1:33" s="99" customFormat="1" ht="11.4" customHeight="1" x14ac:dyDescent="0.3">
      <c r="A114" s="114" t="s">
        <v>221</v>
      </c>
      <c r="B114" s="43">
        <v>328</v>
      </c>
      <c r="C114" s="94">
        <v>16590</v>
      </c>
      <c r="D114" s="44">
        <v>2024</v>
      </c>
      <c r="E114" s="44" t="s">
        <v>222</v>
      </c>
      <c r="F114" s="45" t="s">
        <v>223</v>
      </c>
      <c r="G114" s="46">
        <v>45558</v>
      </c>
      <c r="H114" s="46">
        <v>46575</v>
      </c>
      <c r="I114" s="47" t="s">
        <v>323</v>
      </c>
      <c r="J114" s="48">
        <v>18756</v>
      </c>
      <c r="K114" s="96" t="s">
        <v>1029</v>
      </c>
      <c r="L114" s="8" t="s">
        <v>70</v>
      </c>
      <c r="M114" s="4" t="s">
        <v>225</v>
      </c>
      <c r="N114" s="45" t="s">
        <v>226</v>
      </c>
      <c r="O114" s="49" t="s">
        <v>42</v>
      </c>
      <c r="P114" s="49"/>
      <c r="Q114" s="49" t="s">
        <v>120</v>
      </c>
      <c r="R114" s="117" t="s">
        <v>384</v>
      </c>
      <c r="S114" s="51">
        <v>0</v>
      </c>
      <c r="T114" s="51"/>
      <c r="U114" s="52">
        <v>3300000000</v>
      </c>
      <c r="V114" s="52"/>
      <c r="W114" s="53">
        <f>PROYECTOS_DIH[[#This Row],[VALOR DESEMBOLSOS PROYECTO]]/PROYECTOS_DIH[[#This Row],[Valor Proyecto Inicial.]]</f>
        <v>0</v>
      </c>
      <c r="X114" s="54">
        <v>0</v>
      </c>
      <c r="Y114" s="54" t="s">
        <v>1169</v>
      </c>
      <c r="Z114" s="55">
        <v>16400</v>
      </c>
      <c r="AA114" s="57" t="s">
        <v>385</v>
      </c>
      <c r="AB114" s="5" t="s">
        <v>1165</v>
      </c>
      <c r="AC114" s="56" t="s">
        <v>47</v>
      </c>
      <c r="AD114" s="59">
        <v>0.69897752499999999</v>
      </c>
      <c r="AE114" s="59">
        <v>-75.253704310000003</v>
      </c>
      <c r="AF114" s="5" t="s">
        <v>326</v>
      </c>
      <c r="AG114" s="81" t="s">
        <v>80</v>
      </c>
    </row>
    <row r="115" spans="1:33" s="99" customFormat="1" ht="11.4" customHeight="1" x14ac:dyDescent="0.3">
      <c r="A115" s="114" t="s">
        <v>221</v>
      </c>
      <c r="B115" s="43">
        <v>103</v>
      </c>
      <c r="C115" s="94">
        <v>16591</v>
      </c>
      <c r="D115" s="44">
        <v>2024</v>
      </c>
      <c r="E115" s="44" t="s">
        <v>222</v>
      </c>
      <c r="F115" s="45" t="s">
        <v>223</v>
      </c>
      <c r="G115" s="46">
        <v>45558</v>
      </c>
      <c r="H115" s="46">
        <v>46575</v>
      </c>
      <c r="I115" s="47" t="s">
        <v>242</v>
      </c>
      <c r="J115" s="48">
        <v>81736</v>
      </c>
      <c r="K115" s="127" t="s">
        <v>455</v>
      </c>
      <c r="L115" s="8" t="s">
        <v>70</v>
      </c>
      <c r="M115" s="4" t="s">
        <v>225</v>
      </c>
      <c r="N115" s="45" t="s">
        <v>226</v>
      </c>
      <c r="O115" s="45" t="s">
        <v>42</v>
      </c>
      <c r="P115" s="49" t="s">
        <v>42</v>
      </c>
      <c r="Q115" s="49" t="s">
        <v>170</v>
      </c>
      <c r="R115" s="117" t="s">
        <v>419</v>
      </c>
      <c r="S115" s="51">
        <v>0.28720000000000001</v>
      </c>
      <c r="T115" s="51"/>
      <c r="U115" s="52">
        <v>3223569521.04</v>
      </c>
      <c r="V115" s="52"/>
      <c r="W115" s="53">
        <f>PROYECTOS_DIH[[#This Row],[VALOR DESEMBOLSOS PROYECTO]]/PROYECTOS_DIH[[#This Row],[Valor Proyecto Inicial.]]</f>
        <v>0.2594344299018525</v>
      </c>
      <c r="X115" s="54">
        <v>836304920.94000006</v>
      </c>
      <c r="Y115" s="54" t="s">
        <v>1169</v>
      </c>
      <c r="Z115" s="55">
        <v>10000</v>
      </c>
      <c r="AA115" s="122" t="s">
        <v>456</v>
      </c>
      <c r="AB115" s="5" t="s">
        <v>1161</v>
      </c>
      <c r="AC115" s="56" t="s">
        <v>47</v>
      </c>
      <c r="AD115" s="59">
        <v>6.9538595699999997</v>
      </c>
      <c r="AE115" s="59">
        <v>-71.872333429999998</v>
      </c>
      <c r="AF115" s="5" t="s">
        <v>243</v>
      </c>
      <c r="AG115" s="120" t="s">
        <v>244</v>
      </c>
    </row>
    <row r="116" spans="1:33" s="99" customFormat="1" ht="11.4" customHeight="1" x14ac:dyDescent="0.3">
      <c r="A116" s="114" t="s">
        <v>221</v>
      </c>
      <c r="B116" s="43">
        <v>104</v>
      </c>
      <c r="C116" s="94">
        <v>16592</v>
      </c>
      <c r="D116" s="44">
        <v>2024</v>
      </c>
      <c r="E116" s="44" t="s">
        <v>222</v>
      </c>
      <c r="F116" s="45" t="s">
        <v>223</v>
      </c>
      <c r="G116" s="46">
        <v>45558</v>
      </c>
      <c r="H116" s="46">
        <v>46575</v>
      </c>
      <c r="I116" s="47" t="s">
        <v>348</v>
      </c>
      <c r="J116" s="48">
        <v>50370</v>
      </c>
      <c r="K116" s="127" t="s">
        <v>457</v>
      </c>
      <c r="L116" s="8" t="s">
        <v>70</v>
      </c>
      <c r="M116" s="4" t="s">
        <v>225</v>
      </c>
      <c r="N116" s="45" t="s">
        <v>226</v>
      </c>
      <c r="O116" s="49" t="s">
        <v>42</v>
      </c>
      <c r="P116" s="49" t="s">
        <v>42</v>
      </c>
      <c r="Q116" s="49" t="s">
        <v>170</v>
      </c>
      <c r="R116" s="117" t="s">
        <v>350</v>
      </c>
      <c r="S116" s="51">
        <v>0.44919999999999999</v>
      </c>
      <c r="T116" s="51"/>
      <c r="U116" s="52">
        <v>4224152420.25</v>
      </c>
      <c r="V116" s="52"/>
      <c r="W116" s="53">
        <f>PROYECTOS_DIH[[#This Row],[VALOR DESEMBOLSOS PROYECTO]]/PROYECTOS_DIH[[#This Row],[Valor Proyecto Inicial.]]</f>
        <v>0.3163372799911694</v>
      </c>
      <c r="X116" s="10">
        <v>1336256886.8900001</v>
      </c>
      <c r="Y116" s="54" t="s">
        <v>1169</v>
      </c>
      <c r="Z116" s="55">
        <v>1946</v>
      </c>
      <c r="AA116" s="122" t="s">
        <v>458</v>
      </c>
      <c r="AB116" s="5" t="s">
        <v>1157</v>
      </c>
      <c r="AC116" s="56" t="s">
        <v>47</v>
      </c>
      <c r="AD116" s="59">
        <v>3.2396529969999999</v>
      </c>
      <c r="AE116" s="59">
        <v>-74.351545349999995</v>
      </c>
      <c r="AF116" s="5" t="s">
        <v>352</v>
      </c>
      <c r="AG116" s="120" t="s">
        <v>353</v>
      </c>
    </row>
    <row r="117" spans="1:33" s="99" customFormat="1" ht="11.4" customHeight="1" x14ac:dyDescent="0.3">
      <c r="A117" s="114" t="s">
        <v>221</v>
      </c>
      <c r="B117" s="43">
        <v>345</v>
      </c>
      <c r="C117" s="94">
        <v>16593</v>
      </c>
      <c r="D117" s="44">
        <v>2024</v>
      </c>
      <c r="E117" s="44" t="s">
        <v>222</v>
      </c>
      <c r="F117" s="45" t="s">
        <v>223</v>
      </c>
      <c r="G117" s="46">
        <v>45558</v>
      </c>
      <c r="H117" s="46">
        <v>46575</v>
      </c>
      <c r="I117" s="47" t="s">
        <v>189</v>
      </c>
      <c r="J117" s="48">
        <v>5837</v>
      </c>
      <c r="K117" s="96" t="s">
        <v>1069</v>
      </c>
      <c r="L117" s="8" t="s">
        <v>70</v>
      </c>
      <c r="M117" s="4" t="s">
        <v>225</v>
      </c>
      <c r="N117" s="45" t="s">
        <v>226</v>
      </c>
      <c r="O117" s="45" t="s">
        <v>42</v>
      </c>
      <c r="P117" s="45"/>
      <c r="Q117" s="49" t="s">
        <v>120</v>
      </c>
      <c r="R117" s="117" t="s">
        <v>492</v>
      </c>
      <c r="S117" s="51">
        <v>0</v>
      </c>
      <c r="T117" s="51"/>
      <c r="U117" s="128">
        <v>6762284885</v>
      </c>
      <c r="V117" s="128"/>
      <c r="W117" s="53">
        <f>PROYECTOS_DIH[[#This Row],[VALOR DESEMBOLSOS PROYECTO]]/PROYECTOS_DIH[[#This Row],[Valor Proyecto Inicial.]]</f>
        <v>0</v>
      </c>
      <c r="X117" s="54">
        <v>0</v>
      </c>
      <c r="Y117" s="54" t="s">
        <v>1169</v>
      </c>
      <c r="Z117" s="55">
        <v>16400</v>
      </c>
      <c r="AA117" s="57" t="s">
        <v>1070</v>
      </c>
      <c r="AB117" s="5" t="s">
        <v>1141</v>
      </c>
      <c r="AC117" s="56" t="s">
        <v>47</v>
      </c>
      <c r="AD117" s="59">
        <v>8.0891164109999991</v>
      </c>
      <c r="AE117" s="59">
        <v>-76.729158440000006</v>
      </c>
      <c r="AF117" s="5" t="s">
        <v>48</v>
      </c>
      <c r="AG117" s="60" t="s">
        <v>49</v>
      </c>
    </row>
    <row r="118" spans="1:33" s="99" customFormat="1" ht="11.4" customHeight="1" x14ac:dyDescent="0.3">
      <c r="A118" s="114" t="s">
        <v>221</v>
      </c>
      <c r="B118" s="43">
        <v>105</v>
      </c>
      <c r="C118" s="94">
        <v>16594</v>
      </c>
      <c r="D118" s="44">
        <v>2024</v>
      </c>
      <c r="E118" s="44" t="s">
        <v>222</v>
      </c>
      <c r="F118" s="45" t="s">
        <v>223</v>
      </c>
      <c r="G118" s="46">
        <v>45558</v>
      </c>
      <c r="H118" s="46">
        <v>46575</v>
      </c>
      <c r="I118" s="47" t="s">
        <v>111</v>
      </c>
      <c r="J118" s="48">
        <v>44650</v>
      </c>
      <c r="K118" s="127" t="s">
        <v>459</v>
      </c>
      <c r="L118" s="8" t="s">
        <v>70</v>
      </c>
      <c r="M118" s="4" t="s">
        <v>225</v>
      </c>
      <c r="N118" s="45" t="s">
        <v>226</v>
      </c>
      <c r="O118" s="49" t="s">
        <v>42</v>
      </c>
      <c r="P118" s="49"/>
      <c r="Q118" s="49" t="s">
        <v>59</v>
      </c>
      <c r="R118" s="117" t="s">
        <v>337</v>
      </c>
      <c r="S118" s="51">
        <v>1</v>
      </c>
      <c r="T118" s="51"/>
      <c r="U118" s="52">
        <v>4270875103.1300001</v>
      </c>
      <c r="V118" s="52"/>
      <c r="W118" s="53">
        <f>PROYECTOS_DIH[[#This Row],[VALOR DESEMBOLSOS PROYECTO]]/PROYECTOS_DIH[[#This Row],[Valor Proyecto Inicial.]]</f>
        <v>0.92854526651543923</v>
      </c>
      <c r="X118" s="10">
        <v>3965700860.8899999</v>
      </c>
      <c r="Y118" s="54" t="s">
        <v>1169</v>
      </c>
      <c r="Z118" s="55">
        <v>10000</v>
      </c>
      <c r="AA118" s="122" t="s">
        <v>460</v>
      </c>
      <c r="AB118" s="5" t="s">
        <v>1144</v>
      </c>
      <c r="AC118" s="56" t="s">
        <v>47</v>
      </c>
      <c r="AD118" s="59">
        <v>10.76957868</v>
      </c>
      <c r="AE118" s="59">
        <v>-73.000593210000005</v>
      </c>
      <c r="AF118" s="5" t="s">
        <v>113</v>
      </c>
      <c r="AG118" s="71" t="s">
        <v>64</v>
      </c>
    </row>
    <row r="119" spans="1:33" s="99" customFormat="1" ht="11.4" customHeight="1" x14ac:dyDescent="0.3">
      <c r="A119" s="114" t="s">
        <v>221</v>
      </c>
      <c r="B119" s="43">
        <v>106</v>
      </c>
      <c r="C119" s="94">
        <v>16595</v>
      </c>
      <c r="D119" s="44">
        <v>2024</v>
      </c>
      <c r="E119" s="44" t="s">
        <v>222</v>
      </c>
      <c r="F119" s="45" t="s">
        <v>223</v>
      </c>
      <c r="G119" s="46">
        <v>45558</v>
      </c>
      <c r="H119" s="46">
        <v>46575</v>
      </c>
      <c r="I119" s="47" t="s">
        <v>377</v>
      </c>
      <c r="J119" s="48">
        <v>86757</v>
      </c>
      <c r="K119" s="127" t="s">
        <v>461</v>
      </c>
      <c r="L119" s="8" t="s">
        <v>70</v>
      </c>
      <c r="M119" s="4" t="s">
        <v>225</v>
      </c>
      <c r="N119" s="45" t="s">
        <v>226</v>
      </c>
      <c r="O119" s="49" t="s">
        <v>42</v>
      </c>
      <c r="P119" s="49" t="s">
        <v>42</v>
      </c>
      <c r="Q119" s="49" t="s">
        <v>59</v>
      </c>
      <c r="R119" s="117" t="s">
        <v>462</v>
      </c>
      <c r="S119" s="51">
        <v>0.96</v>
      </c>
      <c r="T119" s="51"/>
      <c r="U119" s="52">
        <v>3871306508.6300001</v>
      </c>
      <c r="V119" s="52"/>
      <c r="W119" s="53">
        <f>PROYECTOS_DIH[[#This Row],[VALOR DESEMBOLSOS PROYECTO]]/PROYECTOS_DIH[[#This Row],[Valor Proyecto Inicial.]]</f>
        <v>0.4708580647428704</v>
      </c>
      <c r="X119" s="54">
        <v>1822835890.6800001</v>
      </c>
      <c r="Y119" s="54" t="s">
        <v>1169</v>
      </c>
      <c r="Z119" s="55">
        <v>4613</v>
      </c>
      <c r="AA119" s="122" t="s">
        <v>463</v>
      </c>
      <c r="AB119" s="5" t="s">
        <v>1150</v>
      </c>
      <c r="AC119" s="56" t="s">
        <v>47</v>
      </c>
      <c r="AD119" s="59">
        <v>0.34327220400000003</v>
      </c>
      <c r="AE119" s="59">
        <v>-76.912410190000003</v>
      </c>
      <c r="AF119" s="5" t="s">
        <v>381</v>
      </c>
      <c r="AG119" s="81" t="s">
        <v>80</v>
      </c>
    </row>
    <row r="120" spans="1:33" s="99" customFormat="1" ht="11.4" customHeight="1" x14ac:dyDescent="0.3">
      <c r="A120" s="114" t="s">
        <v>221</v>
      </c>
      <c r="B120" s="43">
        <v>107</v>
      </c>
      <c r="C120" s="94">
        <v>16596</v>
      </c>
      <c r="D120" s="44">
        <v>2024</v>
      </c>
      <c r="E120" s="44" t="s">
        <v>222</v>
      </c>
      <c r="F120" s="45" t="s">
        <v>223</v>
      </c>
      <c r="G120" s="46">
        <v>45558</v>
      </c>
      <c r="H120" s="46">
        <v>46575</v>
      </c>
      <c r="I120" s="47" t="s">
        <v>183</v>
      </c>
      <c r="J120" s="48">
        <v>95015</v>
      </c>
      <c r="K120" s="127" t="s">
        <v>465</v>
      </c>
      <c r="L120" s="8" t="s">
        <v>70</v>
      </c>
      <c r="M120" s="4" t="s">
        <v>225</v>
      </c>
      <c r="N120" s="45" t="s">
        <v>226</v>
      </c>
      <c r="O120" s="45" t="s">
        <v>42</v>
      </c>
      <c r="P120" s="49" t="s">
        <v>42</v>
      </c>
      <c r="Q120" s="49" t="s">
        <v>170</v>
      </c>
      <c r="R120" s="117" t="s">
        <v>419</v>
      </c>
      <c r="S120" s="51">
        <v>0.54</v>
      </c>
      <c r="T120" s="51"/>
      <c r="U120" s="52">
        <v>3391850128.96</v>
      </c>
      <c r="V120" s="52"/>
      <c r="W120" s="53">
        <f>PROYECTOS_DIH[[#This Row],[VALOR DESEMBOLSOS PROYECTO]]/PROYECTOS_DIH[[#This Row],[Valor Proyecto Inicial.]]</f>
        <v>0.29373885771170211</v>
      </c>
      <c r="X120" s="54">
        <v>996318182.40999997</v>
      </c>
      <c r="Y120" s="54" t="s">
        <v>1169</v>
      </c>
      <c r="Z120" s="55">
        <v>4206</v>
      </c>
      <c r="AA120" s="122" t="s">
        <v>466</v>
      </c>
      <c r="AB120" s="5" t="s">
        <v>1151</v>
      </c>
      <c r="AC120" s="56" t="s">
        <v>47</v>
      </c>
      <c r="AD120" s="59">
        <v>1.9601086329999999</v>
      </c>
      <c r="AE120" s="59">
        <v>-72.655171999999993</v>
      </c>
      <c r="AF120" s="5" t="s">
        <v>187</v>
      </c>
      <c r="AG120" s="109" t="s">
        <v>188</v>
      </c>
    </row>
    <row r="121" spans="1:33" s="99" customFormat="1" ht="11.4" customHeight="1" x14ac:dyDescent="0.3">
      <c r="A121" s="114" t="s">
        <v>221</v>
      </c>
      <c r="B121" s="43">
        <v>338</v>
      </c>
      <c r="C121" s="94">
        <v>16597</v>
      </c>
      <c r="D121" s="44">
        <v>2024</v>
      </c>
      <c r="E121" s="44" t="s">
        <v>222</v>
      </c>
      <c r="F121" s="45" t="s">
        <v>223</v>
      </c>
      <c r="G121" s="46">
        <v>45558</v>
      </c>
      <c r="H121" s="46">
        <v>46575</v>
      </c>
      <c r="I121" s="47" t="s">
        <v>268</v>
      </c>
      <c r="J121" s="48">
        <v>19809</v>
      </c>
      <c r="K121" s="96" t="s">
        <v>1051</v>
      </c>
      <c r="L121" s="8" t="s">
        <v>70</v>
      </c>
      <c r="M121" s="4" t="s">
        <v>225</v>
      </c>
      <c r="N121" s="45" t="s">
        <v>226</v>
      </c>
      <c r="O121" s="49" t="s">
        <v>42</v>
      </c>
      <c r="P121" s="49"/>
      <c r="Q121" s="45" t="s">
        <v>120</v>
      </c>
      <c r="R121" s="50" t="s">
        <v>227</v>
      </c>
      <c r="S121" s="51">
        <v>0</v>
      </c>
      <c r="T121" s="51"/>
      <c r="U121" s="118"/>
      <c r="V121" s="118"/>
      <c r="W121" s="53" t="e">
        <f>PROYECTOS_DIH[[#This Row],[VALOR DESEMBOLSOS PROYECTO]]/PROYECTOS_DIH[[#This Row],[Valor Proyecto Inicial.]]</f>
        <v>#DIV/0!</v>
      </c>
      <c r="X121" s="54">
        <v>0</v>
      </c>
      <c r="Y121" s="54" t="s">
        <v>1169</v>
      </c>
      <c r="Z121" s="55">
        <v>16400</v>
      </c>
      <c r="AA121" s="57" t="s">
        <v>1052</v>
      </c>
      <c r="AB121" s="5" t="s">
        <v>1138</v>
      </c>
      <c r="AC121" s="56" t="s">
        <v>47</v>
      </c>
      <c r="AD121" s="59">
        <v>2.777413702</v>
      </c>
      <c r="AE121" s="59">
        <v>-77.667565240000002</v>
      </c>
      <c r="AF121" s="5" t="s">
        <v>272</v>
      </c>
      <c r="AG121" s="77" t="s">
        <v>75</v>
      </c>
    </row>
    <row r="122" spans="1:33" s="99" customFormat="1" ht="11.4" customHeight="1" x14ac:dyDescent="0.3">
      <c r="A122" s="114" t="s">
        <v>221</v>
      </c>
      <c r="B122" s="43">
        <v>108</v>
      </c>
      <c r="C122" s="94">
        <v>16598</v>
      </c>
      <c r="D122" s="44">
        <v>2024</v>
      </c>
      <c r="E122" s="44" t="s">
        <v>222</v>
      </c>
      <c r="F122" s="45" t="s">
        <v>223</v>
      </c>
      <c r="G122" s="46">
        <v>45558</v>
      </c>
      <c r="H122" s="46">
        <v>46575</v>
      </c>
      <c r="I122" s="47" t="s">
        <v>268</v>
      </c>
      <c r="J122" s="48">
        <v>19473</v>
      </c>
      <c r="K122" s="96" t="s">
        <v>345</v>
      </c>
      <c r="L122" s="8" t="s">
        <v>70</v>
      </c>
      <c r="M122" s="4" t="s">
        <v>225</v>
      </c>
      <c r="N122" s="45" t="s">
        <v>226</v>
      </c>
      <c r="O122" s="45" t="s">
        <v>42</v>
      </c>
      <c r="P122" s="49" t="s">
        <v>42</v>
      </c>
      <c r="Q122" s="49" t="s">
        <v>170</v>
      </c>
      <c r="R122" s="117" t="s">
        <v>343</v>
      </c>
      <c r="S122" s="51">
        <v>0.4249</v>
      </c>
      <c r="T122" s="51"/>
      <c r="U122" s="52">
        <v>4914923139.6800003</v>
      </c>
      <c r="V122" s="52"/>
      <c r="W122" s="53">
        <f>PROYECTOS_DIH[[#This Row],[VALOR DESEMBOLSOS PROYECTO]]/PROYECTOS_DIH[[#This Row],[Valor Proyecto Inicial.]]</f>
        <v>0.32240875262052843</v>
      </c>
      <c r="X122" s="54">
        <v>1584614238.6900001</v>
      </c>
      <c r="Y122" s="54" t="s">
        <v>1169</v>
      </c>
      <c r="Z122" s="55">
        <v>2200</v>
      </c>
      <c r="AA122" s="122" t="s">
        <v>467</v>
      </c>
      <c r="AB122" s="5" t="s">
        <v>1138</v>
      </c>
      <c r="AC122" s="56" t="s">
        <v>47</v>
      </c>
      <c r="AD122" s="59">
        <v>2.7545585670000001</v>
      </c>
      <c r="AE122" s="59">
        <v>-76.629220559999993</v>
      </c>
      <c r="AF122" s="5" t="s">
        <v>272</v>
      </c>
      <c r="AG122" s="77" t="s">
        <v>75</v>
      </c>
    </row>
    <row r="123" spans="1:33" s="99" customFormat="1" ht="11.4" customHeight="1" x14ac:dyDescent="0.3">
      <c r="A123" s="114" t="s">
        <v>221</v>
      </c>
      <c r="B123" s="43">
        <v>109</v>
      </c>
      <c r="C123" s="94">
        <v>16599</v>
      </c>
      <c r="D123" s="44">
        <v>2024</v>
      </c>
      <c r="E123" s="44" t="s">
        <v>222</v>
      </c>
      <c r="F123" s="45" t="s">
        <v>223</v>
      </c>
      <c r="G123" s="46">
        <v>45558</v>
      </c>
      <c r="H123" s="46">
        <v>46575</v>
      </c>
      <c r="I123" s="47" t="s">
        <v>348</v>
      </c>
      <c r="J123" s="48">
        <v>50330</v>
      </c>
      <c r="K123" s="127" t="s">
        <v>468</v>
      </c>
      <c r="L123" s="8" t="s">
        <v>70</v>
      </c>
      <c r="M123" s="4" t="s">
        <v>225</v>
      </c>
      <c r="N123" s="45" t="s">
        <v>226</v>
      </c>
      <c r="O123" s="45" t="s">
        <v>42</v>
      </c>
      <c r="P123" s="49" t="s">
        <v>42</v>
      </c>
      <c r="Q123" s="49" t="s">
        <v>170</v>
      </c>
      <c r="R123" s="117" t="s">
        <v>350</v>
      </c>
      <c r="S123" s="51">
        <v>2.5000000000000001E-3</v>
      </c>
      <c r="T123" s="51"/>
      <c r="U123" s="52">
        <v>4127734237.5900002</v>
      </c>
      <c r="V123" s="52"/>
      <c r="W123" s="53">
        <v>2E-3</v>
      </c>
      <c r="X123" s="54">
        <v>24416633.399999999</v>
      </c>
      <c r="Y123" s="54" t="s">
        <v>1169</v>
      </c>
      <c r="Z123" s="55">
        <v>16400</v>
      </c>
      <c r="AA123" s="122" t="s">
        <v>469</v>
      </c>
      <c r="AB123" s="5" t="s">
        <v>1157</v>
      </c>
      <c r="AC123" s="56" t="s">
        <v>47</v>
      </c>
      <c r="AD123" s="59">
        <v>3.3839247609999998</v>
      </c>
      <c r="AE123" s="59">
        <v>-74.043680850000001</v>
      </c>
      <c r="AF123" s="5" t="s">
        <v>352</v>
      </c>
      <c r="AG123" s="120" t="s">
        <v>353</v>
      </c>
    </row>
    <row r="124" spans="1:33" s="99" customFormat="1" ht="11.4" customHeight="1" x14ac:dyDescent="0.3">
      <c r="A124" s="114" t="s">
        <v>221</v>
      </c>
      <c r="B124" s="43">
        <v>110</v>
      </c>
      <c r="C124" s="94">
        <v>16600</v>
      </c>
      <c r="D124" s="44">
        <v>2024</v>
      </c>
      <c r="E124" s="44" t="s">
        <v>222</v>
      </c>
      <c r="F124" s="45" t="s">
        <v>223</v>
      </c>
      <c r="G124" s="46">
        <v>45558</v>
      </c>
      <c r="H124" s="46">
        <v>46575</v>
      </c>
      <c r="I124" s="47" t="s">
        <v>348</v>
      </c>
      <c r="J124" s="48">
        <v>50450</v>
      </c>
      <c r="K124" s="127" t="s">
        <v>470</v>
      </c>
      <c r="L124" s="8" t="s">
        <v>70</v>
      </c>
      <c r="M124" s="4" t="s">
        <v>225</v>
      </c>
      <c r="N124" s="45" t="s">
        <v>226</v>
      </c>
      <c r="O124" s="49" t="s">
        <v>42</v>
      </c>
      <c r="P124" s="49" t="s">
        <v>42</v>
      </c>
      <c r="Q124" s="49" t="s">
        <v>170</v>
      </c>
      <c r="R124" s="117" t="s">
        <v>350</v>
      </c>
      <c r="S124" s="51">
        <v>0.32629999999999998</v>
      </c>
      <c r="T124" s="51"/>
      <c r="U124" s="52">
        <v>4770893442.8500004</v>
      </c>
      <c r="V124" s="52"/>
      <c r="W124" s="53">
        <f>PROYECTOS_DIH[[#This Row],[VALOR DESEMBOLSOS PROYECTO]]/PROYECTOS_DIH[[#This Row],[Valor Proyecto Inicial.]]</f>
        <v>0.27252638001348861</v>
      </c>
      <c r="X124" s="10">
        <v>1300194319.4100001</v>
      </c>
      <c r="Y124" s="54" t="s">
        <v>1169</v>
      </c>
      <c r="Z124" s="55">
        <v>3256</v>
      </c>
      <c r="AA124" s="122" t="s">
        <v>471</v>
      </c>
      <c r="AB124" s="5" t="s">
        <v>1157</v>
      </c>
      <c r="AC124" s="56" t="s">
        <v>47</v>
      </c>
      <c r="AD124" s="59">
        <v>2.6230821529999999</v>
      </c>
      <c r="AE124" s="59">
        <v>-72.760047589999999</v>
      </c>
      <c r="AF124" s="5" t="s">
        <v>352</v>
      </c>
      <c r="AG124" s="120" t="s">
        <v>353</v>
      </c>
    </row>
    <row r="125" spans="1:33" s="99" customFormat="1" ht="11.4" customHeight="1" x14ac:dyDescent="0.3">
      <c r="A125" s="114" t="s">
        <v>221</v>
      </c>
      <c r="B125" s="43">
        <v>25</v>
      </c>
      <c r="C125" s="94">
        <v>16601</v>
      </c>
      <c r="D125" s="44">
        <v>2024</v>
      </c>
      <c r="E125" s="44" t="s">
        <v>222</v>
      </c>
      <c r="F125" s="45" t="s">
        <v>223</v>
      </c>
      <c r="G125" s="46">
        <v>45558</v>
      </c>
      <c r="H125" s="46">
        <v>46575</v>
      </c>
      <c r="I125" s="96" t="s">
        <v>189</v>
      </c>
      <c r="J125" s="115">
        <v>5045</v>
      </c>
      <c r="K125" s="96" t="s">
        <v>224</v>
      </c>
      <c r="L125" s="8" t="s">
        <v>70</v>
      </c>
      <c r="M125" s="4" t="s">
        <v>225</v>
      </c>
      <c r="N125" s="45" t="s">
        <v>226</v>
      </c>
      <c r="O125" s="45" t="s">
        <v>42</v>
      </c>
      <c r="P125" s="45"/>
      <c r="Q125" s="45" t="s">
        <v>120</v>
      </c>
      <c r="R125" s="50" t="s">
        <v>227</v>
      </c>
      <c r="S125" s="51">
        <v>0</v>
      </c>
      <c r="T125" s="51"/>
      <c r="U125" s="116">
        <v>0</v>
      </c>
      <c r="V125" s="116"/>
      <c r="W125" s="53" t="e">
        <f>PROYECTOS_DIH[[#This Row],[VALOR DESEMBOLSOS PROYECTO]]/PROYECTOS_DIH[[#This Row],[Valor Proyecto Inicial.]]</f>
        <v>#DIV/0!</v>
      </c>
      <c r="X125" s="54">
        <v>0</v>
      </c>
      <c r="Y125" s="54" t="s">
        <v>1169</v>
      </c>
      <c r="Z125" s="55">
        <v>16400</v>
      </c>
      <c r="AA125" s="57" t="s">
        <v>228</v>
      </c>
      <c r="AB125" s="5" t="s">
        <v>1141</v>
      </c>
      <c r="AC125" s="56" t="s">
        <v>47</v>
      </c>
      <c r="AD125" s="59">
        <v>7.8834174060000004</v>
      </c>
      <c r="AE125" s="59">
        <v>-76.625960649999996</v>
      </c>
      <c r="AF125" s="5" t="s">
        <v>48</v>
      </c>
      <c r="AG125" s="60" t="s">
        <v>49</v>
      </c>
    </row>
    <row r="126" spans="1:33" s="99" customFormat="1" ht="11.4" customHeight="1" x14ac:dyDescent="0.3">
      <c r="A126" s="114" t="s">
        <v>221</v>
      </c>
      <c r="B126" s="43">
        <v>111</v>
      </c>
      <c r="C126" s="94">
        <v>16602</v>
      </c>
      <c r="D126" s="44">
        <v>2024</v>
      </c>
      <c r="E126" s="44" t="s">
        <v>222</v>
      </c>
      <c r="F126" s="45" t="s">
        <v>223</v>
      </c>
      <c r="G126" s="46">
        <v>45558</v>
      </c>
      <c r="H126" s="46">
        <v>46575</v>
      </c>
      <c r="I126" s="47" t="s">
        <v>88</v>
      </c>
      <c r="J126" s="48">
        <v>52612</v>
      </c>
      <c r="K126" s="96" t="s">
        <v>472</v>
      </c>
      <c r="L126" s="8" t="s">
        <v>70</v>
      </c>
      <c r="M126" s="4" t="s">
        <v>225</v>
      </c>
      <c r="N126" s="45" t="s">
        <v>226</v>
      </c>
      <c r="O126" s="49" t="s">
        <v>42</v>
      </c>
      <c r="P126" s="49" t="s">
        <v>42</v>
      </c>
      <c r="Q126" s="49" t="s">
        <v>78</v>
      </c>
      <c r="R126" s="117" t="s">
        <v>346</v>
      </c>
      <c r="S126" s="51">
        <v>1</v>
      </c>
      <c r="T126" s="51"/>
      <c r="U126" s="52">
        <v>4459837701.5500002</v>
      </c>
      <c r="V126" s="52"/>
      <c r="W126" s="53">
        <f>PROYECTOS_DIH[[#This Row],[VALOR DESEMBOLSOS PROYECTO]]/PROYECTOS_DIH[[#This Row],[Valor Proyecto Inicial.]]</f>
        <v>0.57154905223885144</v>
      </c>
      <c r="X126" s="133">
        <v>2549016011.46</v>
      </c>
      <c r="Y126" s="54" t="s">
        <v>1169</v>
      </c>
      <c r="Z126" s="55">
        <v>5936</v>
      </c>
      <c r="AA126" s="122" t="s">
        <v>473</v>
      </c>
      <c r="AB126" s="5" t="s">
        <v>1145</v>
      </c>
      <c r="AC126" s="56" t="s">
        <v>47</v>
      </c>
      <c r="AD126" s="59">
        <v>1.2129314579999999</v>
      </c>
      <c r="AE126" s="59">
        <v>-77.99544487</v>
      </c>
      <c r="AF126" s="5" t="s">
        <v>91</v>
      </c>
      <c r="AG126" s="77" t="s">
        <v>75</v>
      </c>
    </row>
    <row r="127" spans="1:33" s="99" customFormat="1" ht="11.4" customHeight="1" x14ac:dyDescent="0.3">
      <c r="A127" s="114" t="s">
        <v>221</v>
      </c>
      <c r="B127" s="43">
        <v>112</v>
      </c>
      <c r="C127" s="94">
        <v>16603</v>
      </c>
      <c r="D127" s="44">
        <v>2024</v>
      </c>
      <c r="E127" s="44" t="s">
        <v>222</v>
      </c>
      <c r="F127" s="45" t="s">
        <v>223</v>
      </c>
      <c r="G127" s="46">
        <v>45558</v>
      </c>
      <c r="H127" s="46">
        <v>46575</v>
      </c>
      <c r="I127" s="47" t="s">
        <v>268</v>
      </c>
      <c r="J127" s="48">
        <v>19137</v>
      </c>
      <c r="K127" s="127" t="s">
        <v>474</v>
      </c>
      <c r="L127" s="8" t="s">
        <v>70</v>
      </c>
      <c r="M127" s="4" t="s">
        <v>225</v>
      </c>
      <c r="N127" s="45" t="s">
        <v>226</v>
      </c>
      <c r="O127" s="49" t="s">
        <v>42</v>
      </c>
      <c r="P127" s="49" t="s">
        <v>42</v>
      </c>
      <c r="Q127" s="49" t="s">
        <v>170</v>
      </c>
      <c r="R127" s="117" t="s">
        <v>350</v>
      </c>
      <c r="S127" s="51">
        <v>0.8548</v>
      </c>
      <c r="T127" s="51"/>
      <c r="U127" s="52">
        <v>4728176634.9099998</v>
      </c>
      <c r="V127" s="52"/>
      <c r="W127" s="53">
        <f>PROYECTOS_DIH[[#This Row],[VALOR DESEMBOLSOS PROYECTO]]/PROYECTOS_DIH[[#This Row],[Valor Proyecto Inicial.]]</f>
        <v>0.59424921395380204</v>
      </c>
      <c r="X127" s="54">
        <v>2809715248.73</v>
      </c>
      <c r="Y127" s="54" t="s">
        <v>1169</v>
      </c>
      <c r="Z127" s="55">
        <v>1928</v>
      </c>
      <c r="AA127" s="122" t="s">
        <v>475</v>
      </c>
      <c r="AB127" s="5" t="s">
        <v>1138</v>
      </c>
      <c r="AC127" s="56" t="s">
        <v>47</v>
      </c>
      <c r="AD127" s="59">
        <v>2.798130826</v>
      </c>
      <c r="AE127" s="59">
        <v>-76.484447860000003</v>
      </c>
      <c r="AF127" s="5" t="s">
        <v>272</v>
      </c>
      <c r="AG127" s="77" t="s">
        <v>75</v>
      </c>
    </row>
    <row r="128" spans="1:33" s="99" customFormat="1" ht="11.4" customHeight="1" x14ac:dyDescent="0.3">
      <c r="A128" s="114" t="s">
        <v>221</v>
      </c>
      <c r="B128" s="43">
        <v>113</v>
      </c>
      <c r="C128" s="94">
        <v>16604</v>
      </c>
      <c r="D128" s="44">
        <v>2024</v>
      </c>
      <c r="E128" s="44" t="s">
        <v>222</v>
      </c>
      <c r="F128" s="45" t="s">
        <v>223</v>
      </c>
      <c r="G128" s="46">
        <v>45558</v>
      </c>
      <c r="H128" s="46">
        <v>46575</v>
      </c>
      <c r="I128" s="47" t="s">
        <v>183</v>
      </c>
      <c r="J128" s="48">
        <v>95200</v>
      </c>
      <c r="K128" s="127" t="s">
        <v>476</v>
      </c>
      <c r="L128" s="8" t="s">
        <v>70</v>
      </c>
      <c r="M128" s="4" t="s">
        <v>225</v>
      </c>
      <c r="N128" s="45" t="s">
        <v>226</v>
      </c>
      <c r="O128" s="45" t="s">
        <v>42</v>
      </c>
      <c r="P128" s="49" t="s">
        <v>42</v>
      </c>
      <c r="Q128" s="49" t="s">
        <v>170</v>
      </c>
      <c r="R128" s="117" t="s">
        <v>419</v>
      </c>
      <c r="S128" s="51">
        <v>0</v>
      </c>
      <c r="T128" s="51"/>
      <c r="U128" s="52">
        <v>3860854507.6700001</v>
      </c>
      <c r="V128" s="52"/>
      <c r="W128" s="53">
        <f>PROYECTOS_DIH[[#This Row],[VALOR DESEMBOLSOS PROYECTO]]/PROYECTOS_DIH[[#This Row],[Valor Proyecto Inicial.]]</f>
        <v>6.0624815629547208E-3</v>
      </c>
      <c r="X128" s="54">
        <v>23406359.27</v>
      </c>
      <c r="Y128" s="54" t="s">
        <v>1169</v>
      </c>
      <c r="Z128" s="55">
        <v>4960</v>
      </c>
      <c r="AA128" s="122" t="s">
        <v>477</v>
      </c>
      <c r="AB128" s="5" t="s">
        <v>1151</v>
      </c>
      <c r="AC128" s="56" t="s">
        <v>47</v>
      </c>
      <c r="AD128" s="59">
        <v>1.337574043</v>
      </c>
      <c r="AE128" s="59">
        <v>-71.950543170000003</v>
      </c>
      <c r="AF128" s="5" t="s">
        <v>187</v>
      </c>
      <c r="AG128" s="109" t="s">
        <v>188</v>
      </c>
    </row>
    <row r="129" spans="1:33" s="99" customFormat="1" ht="11.4" customHeight="1" x14ac:dyDescent="0.3">
      <c r="A129" s="114" t="s">
        <v>221</v>
      </c>
      <c r="B129" s="43">
        <v>170</v>
      </c>
      <c r="C129" s="94">
        <v>16605</v>
      </c>
      <c r="D129" s="44">
        <v>2024</v>
      </c>
      <c r="E129" s="44" t="s">
        <v>222</v>
      </c>
      <c r="F129" s="45" t="s">
        <v>223</v>
      </c>
      <c r="G129" s="46">
        <v>45558</v>
      </c>
      <c r="H129" s="46">
        <v>46575</v>
      </c>
      <c r="I129" s="47" t="s">
        <v>176</v>
      </c>
      <c r="J129" s="48">
        <v>54250</v>
      </c>
      <c r="K129" s="96" t="s">
        <v>587</v>
      </c>
      <c r="L129" s="8" t="s">
        <v>70</v>
      </c>
      <c r="M129" s="4" t="s">
        <v>225</v>
      </c>
      <c r="N129" s="45" t="s">
        <v>226</v>
      </c>
      <c r="O129" s="49" t="s">
        <v>42</v>
      </c>
      <c r="P129" s="49"/>
      <c r="Q129" s="45" t="s">
        <v>120</v>
      </c>
      <c r="R129" s="50" t="s">
        <v>227</v>
      </c>
      <c r="S129" s="51">
        <v>0</v>
      </c>
      <c r="T129" s="51"/>
      <c r="U129" s="118"/>
      <c r="V129" s="118"/>
      <c r="W129" s="53" t="e">
        <f>PROYECTOS_DIH[[#This Row],[VALOR DESEMBOLSOS PROYECTO]]/PROYECTOS_DIH[[#This Row],[Valor Proyecto Inicial.]]</f>
        <v>#DIV/0!</v>
      </c>
      <c r="X129" s="54">
        <v>0</v>
      </c>
      <c r="Y129" s="54" t="s">
        <v>1169</v>
      </c>
      <c r="Z129" s="55">
        <v>16400</v>
      </c>
      <c r="AA129" s="57" t="s">
        <v>588</v>
      </c>
      <c r="AB129" s="5" t="s">
        <v>1136</v>
      </c>
      <c r="AC129" s="56" t="s">
        <v>47</v>
      </c>
      <c r="AD129" s="59">
        <v>8.5767713650000008</v>
      </c>
      <c r="AE129" s="59">
        <v>-73.094845919999997</v>
      </c>
      <c r="AF129" s="5" t="s">
        <v>180</v>
      </c>
      <c r="AG129" s="93" t="s">
        <v>110</v>
      </c>
    </row>
    <row r="130" spans="1:33" s="99" customFormat="1" ht="11.4" customHeight="1" x14ac:dyDescent="0.3">
      <c r="A130" s="114" t="s">
        <v>221</v>
      </c>
      <c r="B130" s="43">
        <v>114</v>
      </c>
      <c r="C130" s="94">
        <v>16606</v>
      </c>
      <c r="D130" s="44">
        <v>2024</v>
      </c>
      <c r="E130" s="44" t="s">
        <v>222</v>
      </c>
      <c r="F130" s="45" t="s">
        <v>223</v>
      </c>
      <c r="G130" s="46">
        <v>45558</v>
      </c>
      <c r="H130" s="46">
        <v>46575</v>
      </c>
      <c r="I130" s="47" t="s">
        <v>37</v>
      </c>
      <c r="J130" s="48">
        <v>27450</v>
      </c>
      <c r="K130" s="127" t="s">
        <v>478</v>
      </c>
      <c r="L130" s="8" t="s">
        <v>70</v>
      </c>
      <c r="M130" s="4" t="s">
        <v>225</v>
      </c>
      <c r="N130" s="45" t="s">
        <v>226</v>
      </c>
      <c r="O130" s="45" t="s">
        <v>42</v>
      </c>
      <c r="P130" s="49" t="s">
        <v>42</v>
      </c>
      <c r="Q130" s="49" t="s">
        <v>170</v>
      </c>
      <c r="R130" s="117" t="s">
        <v>350</v>
      </c>
      <c r="S130" s="51">
        <v>0.31030000000000002</v>
      </c>
      <c r="T130" s="51"/>
      <c r="U130" s="52">
        <v>5448521490.4499998</v>
      </c>
      <c r="V130" s="52"/>
      <c r="W130" s="53">
        <f>PROYECTOS_DIH[[#This Row],[VALOR DESEMBOLSOS PROYECTO]]/PROYECTOS_DIH[[#This Row],[Valor Proyecto Inicial.]]</f>
        <v>0.26264631435670621</v>
      </c>
      <c r="X130" s="54">
        <v>1431034088.1600001</v>
      </c>
      <c r="Y130" s="54" t="s">
        <v>1169</v>
      </c>
      <c r="Z130" s="55">
        <v>2547</v>
      </c>
      <c r="AA130" s="122" t="s">
        <v>370</v>
      </c>
      <c r="AB130" s="5" t="s">
        <v>1153</v>
      </c>
      <c r="AC130" s="56" t="s">
        <v>47</v>
      </c>
      <c r="AD130" s="59">
        <v>5.100240747</v>
      </c>
      <c r="AE130" s="59">
        <v>-76.693357939999999</v>
      </c>
      <c r="AF130" s="5" t="s">
        <v>330</v>
      </c>
      <c r="AG130" s="77" t="s">
        <v>75</v>
      </c>
    </row>
    <row r="131" spans="1:33" s="99" customFormat="1" ht="11.4" customHeight="1" x14ac:dyDescent="0.3">
      <c r="A131" s="114" t="s">
        <v>221</v>
      </c>
      <c r="B131" s="43">
        <v>116</v>
      </c>
      <c r="C131" s="94">
        <v>16607</v>
      </c>
      <c r="D131" s="44">
        <v>2024</v>
      </c>
      <c r="E131" s="44" t="s">
        <v>222</v>
      </c>
      <c r="F131" s="45" t="s">
        <v>223</v>
      </c>
      <c r="G131" s="46">
        <v>45558</v>
      </c>
      <c r="H131" s="46">
        <v>46575</v>
      </c>
      <c r="I131" s="47" t="s">
        <v>348</v>
      </c>
      <c r="J131" s="48">
        <v>50590</v>
      </c>
      <c r="K131" s="96" t="s">
        <v>481</v>
      </c>
      <c r="L131" s="8" t="s">
        <v>70</v>
      </c>
      <c r="M131" s="4" t="s">
        <v>225</v>
      </c>
      <c r="N131" s="45" t="s">
        <v>226</v>
      </c>
      <c r="O131" s="49" t="s">
        <v>42</v>
      </c>
      <c r="P131" s="49" t="s">
        <v>42</v>
      </c>
      <c r="Q131" s="49" t="s">
        <v>170</v>
      </c>
      <c r="R131" s="117" t="s">
        <v>350</v>
      </c>
      <c r="S131" s="51">
        <v>0.42470000000000002</v>
      </c>
      <c r="T131" s="51"/>
      <c r="U131" s="52">
        <v>4604505350.3000002</v>
      </c>
      <c r="V131" s="52"/>
      <c r="W131" s="53">
        <f>PROYECTOS_DIH[[#This Row],[VALOR DESEMBOLSOS PROYECTO]]/PROYECTOS_DIH[[#This Row],[Valor Proyecto Inicial.]]</f>
        <v>0.33706984418399666</v>
      </c>
      <c r="X131" s="10">
        <v>1552039900.97</v>
      </c>
      <c r="Y131" s="54" t="s">
        <v>1169</v>
      </c>
      <c r="Z131" s="55">
        <v>6313</v>
      </c>
      <c r="AA131" s="122" t="s">
        <v>482</v>
      </c>
      <c r="AB131" s="5" t="s">
        <v>1157</v>
      </c>
      <c r="AC131" s="56" t="s">
        <v>47</v>
      </c>
      <c r="AD131" s="59">
        <v>2.939743676</v>
      </c>
      <c r="AE131" s="59">
        <v>-73.206513330000007</v>
      </c>
      <c r="AF131" s="5" t="s">
        <v>352</v>
      </c>
      <c r="AG131" s="120" t="s">
        <v>353</v>
      </c>
    </row>
    <row r="132" spans="1:33" s="99" customFormat="1" ht="11.4" customHeight="1" x14ac:dyDescent="0.3">
      <c r="A132" s="114" t="s">
        <v>221</v>
      </c>
      <c r="B132" s="43">
        <v>329</v>
      </c>
      <c r="C132" s="94">
        <v>16608</v>
      </c>
      <c r="D132" s="44">
        <v>2024</v>
      </c>
      <c r="E132" s="44" t="s">
        <v>222</v>
      </c>
      <c r="F132" s="45" t="s">
        <v>223</v>
      </c>
      <c r="G132" s="46">
        <v>45558</v>
      </c>
      <c r="H132" s="46">
        <v>46575</v>
      </c>
      <c r="I132" s="47" t="s">
        <v>323</v>
      </c>
      <c r="J132" s="48">
        <v>18785</v>
      </c>
      <c r="K132" s="96" t="s">
        <v>1030</v>
      </c>
      <c r="L132" s="8" t="s">
        <v>70</v>
      </c>
      <c r="M132" s="4" t="s">
        <v>225</v>
      </c>
      <c r="N132" s="45" t="s">
        <v>226</v>
      </c>
      <c r="O132" s="49" t="s">
        <v>42</v>
      </c>
      <c r="P132" s="49"/>
      <c r="Q132" s="49" t="s">
        <v>120</v>
      </c>
      <c r="R132" s="117" t="s">
        <v>384</v>
      </c>
      <c r="S132" s="51">
        <v>0</v>
      </c>
      <c r="T132" s="51"/>
      <c r="U132" s="52">
        <v>3300000000</v>
      </c>
      <c r="V132" s="52"/>
      <c r="W132" s="53">
        <f>PROYECTOS_DIH[[#This Row],[VALOR DESEMBOLSOS PROYECTO]]/PROYECTOS_DIH[[#This Row],[Valor Proyecto Inicial.]]</f>
        <v>0</v>
      </c>
      <c r="X132" s="54">
        <v>0</v>
      </c>
      <c r="Y132" s="54" t="s">
        <v>1169</v>
      </c>
      <c r="Z132" s="55">
        <v>16400</v>
      </c>
      <c r="AA132" s="57" t="s">
        <v>385</v>
      </c>
      <c r="AB132" s="5" t="s">
        <v>1165</v>
      </c>
      <c r="AC132" s="56" t="s">
        <v>47</v>
      </c>
      <c r="AD132" s="59">
        <v>0.87666800300000003</v>
      </c>
      <c r="AE132" s="59">
        <v>-75.619734089999994</v>
      </c>
      <c r="AF132" s="5" t="s">
        <v>326</v>
      </c>
      <c r="AG132" s="81" t="s">
        <v>80</v>
      </c>
    </row>
    <row r="133" spans="1:33" s="99" customFormat="1" ht="11.4" customHeight="1" x14ac:dyDescent="0.3">
      <c r="A133" s="114" t="s">
        <v>221</v>
      </c>
      <c r="B133" s="43">
        <v>117</v>
      </c>
      <c r="C133" s="94">
        <v>16609</v>
      </c>
      <c r="D133" s="44">
        <v>2024</v>
      </c>
      <c r="E133" s="44" t="s">
        <v>222</v>
      </c>
      <c r="F133" s="45" t="s">
        <v>223</v>
      </c>
      <c r="G133" s="46">
        <v>45558</v>
      </c>
      <c r="H133" s="46">
        <v>46575</v>
      </c>
      <c r="I133" s="47" t="s">
        <v>88</v>
      </c>
      <c r="J133" s="48">
        <v>52835</v>
      </c>
      <c r="K133" s="96" t="s">
        <v>422</v>
      </c>
      <c r="L133" s="8" t="s">
        <v>70</v>
      </c>
      <c r="M133" s="4" t="s">
        <v>225</v>
      </c>
      <c r="N133" s="45" t="s">
        <v>226</v>
      </c>
      <c r="O133" s="49" t="s">
        <v>42</v>
      </c>
      <c r="P133" s="49" t="s">
        <v>42</v>
      </c>
      <c r="Q133" s="49" t="s">
        <v>170</v>
      </c>
      <c r="R133" s="117" t="s">
        <v>350</v>
      </c>
      <c r="S133" s="51">
        <v>0.83299999999999996</v>
      </c>
      <c r="T133" s="51"/>
      <c r="U133" s="52">
        <v>5890344075.2299995</v>
      </c>
      <c r="V133" s="52"/>
      <c r="W133" s="53">
        <f>PROYECTOS_DIH[[#This Row],[VALOR DESEMBOLSOS PROYECTO]]/PROYECTOS_DIH[[#This Row],[Valor Proyecto Inicial.]]</f>
        <v>0.46818072993678528</v>
      </c>
      <c r="X133" s="54">
        <v>2757745588.7199998</v>
      </c>
      <c r="Y133" s="54" t="s">
        <v>1169</v>
      </c>
      <c r="Z133" s="55">
        <v>10000</v>
      </c>
      <c r="AA133" s="122" t="s">
        <v>483</v>
      </c>
      <c r="AB133" s="5" t="s">
        <v>1145</v>
      </c>
      <c r="AC133" s="56" t="s">
        <v>47</v>
      </c>
      <c r="AD133" s="59">
        <v>1.8071172499999999</v>
      </c>
      <c r="AE133" s="59">
        <v>-78.76385415</v>
      </c>
      <c r="AF133" s="5" t="s">
        <v>91</v>
      </c>
      <c r="AG133" s="77" t="s">
        <v>75</v>
      </c>
    </row>
    <row r="134" spans="1:33" s="99" customFormat="1" ht="11.4" customHeight="1" x14ac:dyDescent="0.3">
      <c r="A134" s="114" t="s">
        <v>221</v>
      </c>
      <c r="B134" s="43">
        <v>294</v>
      </c>
      <c r="C134" s="94">
        <v>16610</v>
      </c>
      <c r="D134" s="44">
        <v>2024</v>
      </c>
      <c r="E134" s="44" t="s">
        <v>222</v>
      </c>
      <c r="F134" s="45" t="s">
        <v>223</v>
      </c>
      <c r="G134" s="46">
        <v>45558</v>
      </c>
      <c r="H134" s="46">
        <v>46575</v>
      </c>
      <c r="I134" s="47" t="s">
        <v>394</v>
      </c>
      <c r="J134" s="48">
        <v>70823</v>
      </c>
      <c r="K134" s="96" t="s">
        <v>964</v>
      </c>
      <c r="L134" s="8" t="s">
        <v>70</v>
      </c>
      <c r="M134" s="4" t="s">
        <v>225</v>
      </c>
      <c r="N134" s="45" t="s">
        <v>226</v>
      </c>
      <c r="O134" s="49" t="s">
        <v>42</v>
      </c>
      <c r="P134" s="49"/>
      <c r="Q134" s="45" t="s">
        <v>120</v>
      </c>
      <c r="R134" s="50" t="s">
        <v>227</v>
      </c>
      <c r="S134" s="51">
        <v>0</v>
      </c>
      <c r="T134" s="51"/>
      <c r="U134" s="118"/>
      <c r="V134" s="118"/>
      <c r="W134" s="53" t="e">
        <f>PROYECTOS_DIH[[#This Row],[VALOR DESEMBOLSOS PROYECTO]]/PROYECTOS_DIH[[#This Row],[Valor Proyecto Inicial.]]</f>
        <v>#DIV/0!</v>
      </c>
      <c r="X134" s="54">
        <v>0</v>
      </c>
      <c r="Y134" s="54" t="s">
        <v>1169</v>
      </c>
      <c r="Z134" s="55">
        <v>16400</v>
      </c>
      <c r="AA134" s="57" t="s">
        <v>965</v>
      </c>
      <c r="AB134" s="5" t="s">
        <v>1133</v>
      </c>
      <c r="AC134" s="56" t="s">
        <v>47</v>
      </c>
      <c r="AD134" s="59">
        <v>9.4518446990000005</v>
      </c>
      <c r="AE134" s="59">
        <v>-75.440821769999999</v>
      </c>
      <c r="AF134" s="5" t="s">
        <v>397</v>
      </c>
      <c r="AG134" s="71" t="s">
        <v>64</v>
      </c>
    </row>
    <row r="135" spans="1:33" s="99" customFormat="1" ht="11.4" customHeight="1" x14ac:dyDescent="0.3">
      <c r="A135" s="114" t="s">
        <v>221</v>
      </c>
      <c r="B135" s="43">
        <v>118</v>
      </c>
      <c r="C135" s="94">
        <v>16611</v>
      </c>
      <c r="D135" s="44">
        <v>2024</v>
      </c>
      <c r="E135" s="44" t="s">
        <v>222</v>
      </c>
      <c r="F135" s="45" t="s">
        <v>223</v>
      </c>
      <c r="G135" s="46">
        <v>45558</v>
      </c>
      <c r="H135" s="46">
        <v>46575</v>
      </c>
      <c r="I135" s="47" t="s">
        <v>268</v>
      </c>
      <c r="J135" s="48">
        <v>19698</v>
      </c>
      <c r="K135" s="127" t="s">
        <v>484</v>
      </c>
      <c r="L135" s="8" t="s">
        <v>70</v>
      </c>
      <c r="M135" s="4" t="s">
        <v>225</v>
      </c>
      <c r="N135" s="45" t="s">
        <v>226</v>
      </c>
      <c r="O135" s="45" t="s">
        <v>42</v>
      </c>
      <c r="P135" s="49" t="s">
        <v>42</v>
      </c>
      <c r="Q135" s="49" t="s">
        <v>170</v>
      </c>
      <c r="R135" s="117" t="s">
        <v>343</v>
      </c>
      <c r="S135" s="51">
        <v>0.59799999999999998</v>
      </c>
      <c r="T135" s="51"/>
      <c r="U135" s="52">
        <v>5139752392.0100002</v>
      </c>
      <c r="V135" s="52"/>
      <c r="W135" s="53">
        <f>PROYECTOS_DIH[[#This Row],[VALOR DESEMBOLSOS PROYECTO]]/PROYECTOS_DIH[[#This Row],[Valor Proyecto Inicial.]]</f>
        <v>0.31616512112648837</v>
      </c>
      <c r="X135" s="54">
        <v>1625010437.5799999</v>
      </c>
      <c r="Y135" s="54" t="s">
        <v>1169</v>
      </c>
      <c r="Z135" s="55">
        <v>10000</v>
      </c>
      <c r="AA135" s="57" t="s">
        <v>485</v>
      </c>
      <c r="AB135" s="5" t="s">
        <v>1138</v>
      </c>
      <c r="AC135" s="56" t="s">
        <v>47</v>
      </c>
      <c r="AD135" s="59">
        <v>3.0160539009999998</v>
      </c>
      <c r="AE135" s="59">
        <v>-76.485370290000006</v>
      </c>
      <c r="AF135" s="5" t="s">
        <v>272</v>
      </c>
      <c r="AG135" s="77" t="s">
        <v>75</v>
      </c>
    </row>
    <row r="136" spans="1:33" s="99" customFormat="1" ht="11.4" customHeight="1" x14ac:dyDescent="0.3">
      <c r="A136" s="114" t="s">
        <v>221</v>
      </c>
      <c r="B136" s="43">
        <v>119</v>
      </c>
      <c r="C136" s="94">
        <v>16612</v>
      </c>
      <c r="D136" s="44">
        <v>2024</v>
      </c>
      <c r="E136" s="44" t="s">
        <v>222</v>
      </c>
      <c r="F136" s="45" t="s">
        <v>223</v>
      </c>
      <c r="G136" s="46">
        <v>45558</v>
      </c>
      <c r="H136" s="46">
        <v>46575</v>
      </c>
      <c r="I136" s="47" t="s">
        <v>149</v>
      </c>
      <c r="J136" s="48">
        <v>47001</v>
      </c>
      <c r="K136" s="127" t="s">
        <v>486</v>
      </c>
      <c r="L136" s="8" t="s">
        <v>70</v>
      </c>
      <c r="M136" s="4" t="s">
        <v>225</v>
      </c>
      <c r="N136" s="45" t="s">
        <v>226</v>
      </c>
      <c r="O136" s="45" t="s">
        <v>42</v>
      </c>
      <c r="P136" s="49" t="s">
        <v>42</v>
      </c>
      <c r="Q136" s="49" t="s">
        <v>170</v>
      </c>
      <c r="R136" s="117" t="s">
        <v>350</v>
      </c>
      <c r="S136" s="51">
        <v>0.7329</v>
      </c>
      <c r="T136" s="51"/>
      <c r="U136" s="52">
        <v>4853987686.3999996</v>
      </c>
      <c r="V136" s="52"/>
      <c r="W136" s="53">
        <f>PROYECTOS_DIH[[#This Row],[VALOR DESEMBOLSOS PROYECTO]]/PROYECTOS_DIH[[#This Row],[Valor Proyecto Inicial.]]</f>
        <v>0.43730331839887548</v>
      </c>
      <c r="X136" s="54">
        <v>2122664922.73</v>
      </c>
      <c r="Y136" s="54" t="s">
        <v>1169</v>
      </c>
      <c r="Z136" s="55">
        <v>10000</v>
      </c>
      <c r="AA136" s="122" t="s">
        <v>487</v>
      </c>
      <c r="AB136" s="5" t="s">
        <v>1139</v>
      </c>
      <c r="AC136" s="56" t="s">
        <v>47</v>
      </c>
      <c r="AD136" s="59">
        <v>11.229433500000001</v>
      </c>
      <c r="AE136" s="59">
        <v>-74.190894119999996</v>
      </c>
      <c r="AF136" s="5" t="s">
        <v>150</v>
      </c>
      <c r="AG136" s="71" t="s">
        <v>64</v>
      </c>
    </row>
    <row r="137" spans="1:33" s="99" customFormat="1" ht="11.4" customHeight="1" x14ac:dyDescent="0.3">
      <c r="A137" s="114" t="s">
        <v>221</v>
      </c>
      <c r="B137" s="43">
        <v>120</v>
      </c>
      <c r="C137" s="94">
        <v>16613</v>
      </c>
      <c r="D137" s="44">
        <v>2024</v>
      </c>
      <c r="E137" s="44" t="s">
        <v>222</v>
      </c>
      <c r="F137" s="45" t="s">
        <v>223</v>
      </c>
      <c r="G137" s="46">
        <v>45558</v>
      </c>
      <c r="H137" s="46">
        <v>46575</v>
      </c>
      <c r="I137" s="45" t="s">
        <v>141</v>
      </c>
      <c r="J137" s="98">
        <v>23580</v>
      </c>
      <c r="K137" s="96" t="s">
        <v>310</v>
      </c>
      <c r="L137" s="8" t="s">
        <v>70</v>
      </c>
      <c r="M137" s="4" t="s">
        <v>225</v>
      </c>
      <c r="N137" s="45" t="s">
        <v>226</v>
      </c>
      <c r="O137" s="49" t="s">
        <v>42</v>
      </c>
      <c r="P137" s="49"/>
      <c r="Q137" s="49" t="s">
        <v>59</v>
      </c>
      <c r="R137" s="117" t="s">
        <v>337</v>
      </c>
      <c r="S137" s="51">
        <v>1</v>
      </c>
      <c r="T137" s="51"/>
      <c r="U137" s="52">
        <v>4411134764.5</v>
      </c>
      <c r="V137" s="52"/>
      <c r="W137" s="53">
        <f>PROYECTOS_DIH[[#This Row],[VALOR DESEMBOLSOS PROYECTO]]/PROYECTOS_DIH[[#This Row],[Valor Proyecto Inicial.]]</f>
        <v>0.95526255129220272</v>
      </c>
      <c r="X137" s="10">
        <v>4213791849.23</v>
      </c>
      <c r="Y137" s="54" t="s">
        <v>1169</v>
      </c>
      <c r="Z137" s="55">
        <v>10000</v>
      </c>
      <c r="AA137" s="57" t="s">
        <v>488</v>
      </c>
      <c r="AB137" s="5" t="s">
        <v>1142</v>
      </c>
      <c r="AC137" s="56" t="s">
        <v>47</v>
      </c>
      <c r="AD137" s="59">
        <v>7.8888348150000001</v>
      </c>
      <c r="AE137" s="59">
        <v>-75.671799750000005</v>
      </c>
      <c r="AF137" s="5" t="s">
        <v>145</v>
      </c>
      <c r="AG137" s="71" t="s">
        <v>64</v>
      </c>
    </row>
    <row r="138" spans="1:33" s="99" customFormat="1" ht="11.4" customHeight="1" x14ac:dyDescent="0.3">
      <c r="A138" s="114" t="s">
        <v>221</v>
      </c>
      <c r="B138" s="43">
        <v>121</v>
      </c>
      <c r="C138" s="94">
        <v>16614</v>
      </c>
      <c r="D138" s="44">
        <v>2024</v>
      </c>
      <c r="E138" s="44" t="s">
        <v>222</v>
      </c>
      <c r="F138" s="45" t="s">
        <v>223</v>
      </c>
      <c r="G138" s="46">
        <v>45558</v>
      </c>
      <c r="H138" s="46">
        <v>46575</v>
      </c>
      <c r="I138" s="4" t="s">
        <v>201</v>
      </c>
      <c r="J138" s="63">
        <v>13160</v>
      </c>
      <c r="K138" s="127" t="s">
        <v>489</v>
      </c>
      <c r="L138" s="8" t="s">
        <v>70</v>
      </c>
      <c r="M138" s="4" t="s">
        <v>225</v>
      </c>
      <c r="N138" s="45" t="s">
        <v>226</v>
      </c>
      <c r="O138" s="49" t="s">
        <v>42</v>
      </c>
      <c r="P138" s="49" t="s">
        <v>42</v>
      </c>
      <c r="Q138" s="49" t="s">
        <v>170</v>
      </c>
      <c r="R138" s="117" t="s">
        <v>350</v>
      </c>
      <c r="S138" s="51">
        <v>0.56640000000000001</v>
      </c>
      <c r="T138" s="51"/>
      <c r="U138" s="52">
        <v>4203350822.8000002</v>
      </c>
      <c r="V138" s="52"/>
      <c r="W138" s="53">
        <f>PROYECTOS_DIH[[#This Row],[VALOR DESEMBOLSOS PROYECTO]]/PROYECTOS_DIH[[#This Row],[Valor Proyecto Inicial.]]</f>
        <v>0.3574337232620487</v>
      </c>
      <c r="X138" s="54">
        <v>1502419334.77</v>
      </c>
      <c r="Y138" s="54" t="s">
        <v>1169</v>
      </c>
      <c r="Z138" s="55">
        <v>3710</v>
      </c>
      <c r="AA138" s="57" t="s">
        <v>490</v>
      </c>
      <c r="AB138" s="5" t="s">
        <v>1140</v>
      </c>
      <c r="AC138" s="56" t="s">
        <v>47</v>
      </c>
      <c r="AD138" s="59">
        <v>7.3783155999999996</v>
      </c>
      <c r="AE138" s="59">
        <v>-73.91465024</v>
      </c>
      <c r="AF138" s="5" t="s">
        <v>339</v>
      </c>
      <c r="AG138" s="93" t="s">
        <v>110</v>
      </c>
    </row>
    <row r="139" spans="1:33" s="99" customFormat="1" ht="11.4" customHeight="1" x14ac:dyDescent="0.3">
      <c r="A139" s="114" t="s">
        <v>221</v>
      </c>
      <c r="B139" s="43">
        <v>123</v>
      </c>
      <c r="C139" s="94">
        <v>16615</v>
      </c>
      <c r="D139" s="44">
        <v>2024</v>
      </c>
      <c r="E139" s="44" t="s">
        <v>222</v>
      </c>
      <c r="F139" s="45" t="s">
        <v>223</v>
      </c>
      <c r="G139" s="46">
        <v>45558</v>
      </c>
      <c r="H139" s="46">
        <v>46575</v>
      </c>
      <c r="I139" s="5" t="s">
        <v>153</v>
      </c>
      <c r="J139" s="82">
        <v>15001</v>
      </c>
      <c r="K139" s="127" t="s">
        <v>494</v>
      </c>
      <c r="L139" s="8" t="s">
        <v>70</v>
      </c>
      <c r="M139" s="4" t="s">
        <v>225</v>
      </c>
      <c r="N139" s="45" t="s">
        <v>226</v>
      </c>
      <c r="O139" s="45" t="s">
        <v>42</v>
      </c>
      <c r="P139" s="45"/>
      <c r="Q139" s="49" t="s">
        <v>44</v>
      </c>
      <c r="R139" s="117" t="s">
        <v>379</v>
      </c>
      <c r="S139" s="51">
        <v>0</v>
      </c>
      <c r="T139" s="51"/>
      <c r="U139" s="52">
        <v>4350613548.29</v>
      </c>
      <c r="V139" s="52"/>
      <c r="W139" s="53">
        <f>PROYECTOS_DIH[[#This Row],[VALOR DESEMBOLSOS PROYECTO]]/PROYECTOS_DIH[[#This Row],[Valor Proyecto Inicial.]]</f>
        <v>5.3800134188429173E-3</v>
      </c>
      <c r="X139" s="54">
        <v>23406359.27</v>
      </c>
      <c r="Y139" s="54" t="s">
        <v>1169</v>
      </c>
      <c r="Z139" s="55">
        <v>10000</v>
      </c>
      <c r="AA139" s="122" t="s">
        <v>495</v>
      </c>
      <c r="AB139" s="5" t="s">
        <v>1160</v>
      </c>
      <c r="AC139" s="56" t="s">
        <v>62</v>
      </c>
      <c r="AD139" s="59">
        <v>5.5399532379999998</v>
      </c>
      <c r="AE139" s="59">
        <v>-73.355488730000005</v>
      </c>
      <c r="AF139" s="5" t="s">
        <v>157</v>
      </c>
      <c r="AG139" s="103" t="s">
        <v>110</v>
      </c>
    </row>
    <row r="140" spans="1:33" s="99" customFormat="1" ht="11.4" customHeight="1" x14ac:dyDescent="0.3">
      <c r="A140" s="114" t="s">
        <v>221</v>
      </c>
      <c r="B140" s="43">
        <v>124</v>
      </c>
      <c r="C140" s="94">
        <v>16616</v>
      </c>
      <c r="D140" s="44">
        <v>2024</v>
      </c>
      <c r="E140" s="44" t="s">
        <v>222</v>
      </c>
      <c r="F140" s="45" t="s">
        <v>223</v>
      </c>
      <c r="G140" s="46">
        <v>45558</v>
      </c>
      <c r="H140" s="46">
        <v>46575</v>
      </c>
      <c r="I140" s="47" t="s">
        <v>88</v>
      </c>
      <c r="J140" s="48">
        <v>52001</v>
      </c>
      <c r="K140" s="96" t="s">
        <v>136</v>
      </c>
      <c r="L140" s="8" t="s">
        <v>70</v>
      </c>
      <c r="M140" s="4" t="s">
        <v>225</v>
      </c>
      <c r="N140" s="45" t="s">
        <v>226</v>
      </c>
      <c r="O140" s="49" t="s">
        <v>42</v>
      </c>
      <c r="P140" s="49"/>
      <c r="Q140" s="49" t="s">
        <v>44</v>
      </c>
      <c r="R140" s="117" t="s">
        <v>362</v>
      </c>
      <c r="S140" s="51">
        <v>0</v>
      </c>
      <c r="T140" s="51"/>
      <c r="U140" s="52">
        <v>5270240535.4099998</v>
      </c>
      <c r="V140" s="52"/>
      <c r="W140" s="53">
        <f>PROYECTOS_DIH[[#This Row],[VALOR DESEMBOLSOS PROYECTO]]/PROYECTOS_DIH[[#This Row],[Valor Proyecto Inicial.]]</f>
        <v>0</v>
      </c>
      <c r="X140" s="54">
        <v>0</v>
      </c>
      <c r="Y140" s="54" t="s">
        <v>1169</v>
      </c>
      <c r="Z140" s="55">
        <v>16400</v>
      </c>
      <c r="AA140" s="57" t="s">
        <v>496</v>
      </c>
      <c r="AB140" s="5" t="s">
        <v>1145</v>
      </c>
      <c r="AC140" s="56" t="s">
        <v>62</v>
      </c>
      <c r="AD140" s="59">
        <v>1.212124365</v>
      </c>
      <c r="AE140" s="59">
        <v>-77.278576349999994</v>
      </c>
      <c r="AF140" s="5" t="s">
        <v>91</v>
      </c>
      <c r="AG140" s="77" t="s">
        <v>75</v>
      </c>
    </row>
    <row r="141" spans="1:33" s="99" customFormat="1" ht="11.4" customHeight="1" x14ac:dyDescent="0.3">
      <c r="A141" s="114" t="s">
        <v>221</v>
      </c>
      <c r="B141" s="43">
        <v>126</v>
      </c>
      <c r="C141" s="94">
        <v>16617</v>
      </c>
      <c r="D141" s="44">
        <v>2024</v>
      </c>
      <c r="E141" s="44" t="s">
        <v>222</v>
      </c>
      <c r="F141" s="45" t="s">
        <v>223</v>
      </c>
      <c r="G141" s="46">
        <v>45558</v>
      </c>
      <c r="H141" s="46">
        <v>46575</v>
      </c>
      <c r="I141" s="47" t="s">
        <v>242</v>
      </c>
      <c r="J141" s="48">
        <v>81794</v>
      </c>
      <c r="K141" s="127" t="s">
        <v>500</v>
      </c>
      <c r="L141" s="8" t="s">
        <v>70</v>
      </c>
      <c r="M141" s="4" t="s">
        <v>225</v>
      </c>
      <c r="N141" s="45" t="s">
        <v>226</v>
      </c>
      <c r="O141" s="45" t="s">
        <v>42</v>
      </c>
      <c r="P141" s="49" t="s">
        <v>42</v>
      </c>
      <c r="Q141" s="49" t="s">
        <v>170</v>
      </c>
      <c r="R141" s="117" t="s">
        <v>419</v>
      </c>
      <c r="S141" s="51">
        <v>0.29620000000000002</v>
      </c>
      <c r="T141" s="51"/>
      <c r="U141" s="52">
        <v>3477767949.98</v>
      </c>
      <c r="V141" s="52"/>
      <c r="W141" s="53">
        <f>PROYECTOS_DIH[[#This Row],[VALOR DESEMBOLSOS PROYECTO]]/PROYECTOS_DIH[[#This Row],[Valor Proyecto Inicial.]]</f>
        <v>0.14233315574802702</v>
      </c>
      <c r="X141" s="54">
        <v>495001687.27999997</v>
      </c>
      <c r="Y141" s="54" t="s">
        <v>1169</v>
      </c>
      <c r="Z141" s="55">
        <v>10000</v>
      </c>
      <c r="AA141" s="122" t="s">
        <v>501</v>
      </c>
      <c r="AB141" s="5" t="s">
        <v>1161</v>
      </c>
      <c r="AC141" s="56" t="s">
        <v>47</v>
      </c>
      <c r="AD141" s="59">
        <v>6.4493794859999998</v>
      </c>
      <c r="AE141" s="59">
        <v>-71.758610860000005</v>
      </c>
      <c r="AF141" s="5" t="s">
        <v>243</v>
      </c>
      <c r="AG141" s="120" t="s">
        <v>244</v>
      </c>
    </row>
    <row r="142" spans="1:33" s="99" customFormat="1" ht="11.4" customHeight="1" x14ac:dyDescent="0.3">
      <c r="A142" s="114" t="s">
        <v>221</v>
      </c>
      <c r="B142" s="43">
        <v>127</v>
      </c>
      <c r="C142" s="94">
        <v>16618</v>
      </c>
      <c r="D142" s="44">
        <v>2024</v>
      </c>
      <c r="E142" s="44" t="s">
        <v>222</v>
      </c>
      <c r="F142" s="45" t="s">
        <v>223</v>
      </c>
      <c r="G142" s="46">
        <v>45558</v>
      </c>
      <c r="H142" s="46">
        <v>46575</v>
      </c>
      <c r="I142" s="47" t="s">
        <v>88</v>
      </c>
      <c r="J142" s="48">
        <v>52405</v>
      </c>
      <c r="K142" s="127" t="s">
        <v>502</v>
      </c>
      <c r="L142" s="8" t="s">
        <v>70</v>
      </c>
      <c r="M142" s="4" t="s">
        <v>225</v>
      </c>
      <c r="N142" s="45" t="s">
        <v>226</v>
      </c>
      <c r="O142" s="49" t="s">
        <v>42</v>
      </c>
      <c r="P142" s="49"/>
      <c r="Q142" s="49" t="s">
        <v>44</v>
      </c>
      <c r="R142" s="117" t="s">
        <v>362</v>
      </c>
      <c r="S142" s="51">
        <v>0</v>
      </c>
      <c r="T142" s="51"/>
      <c r="U142" s="52">
        <v>5305984145.75</v>
      </c>
      <c r="V142" s="52"/>
      <c r="W142" s="53">
        <f>PROYECTOS_DIH[[#This Row],[VALOR DESEMBOLSOS PROYECTO]]/PROYECTOS_DIH[[#This Row],[Valor Proyecto Inicial.]]</f>
        <v>0</v>
      </c>
      <c r="X142" s="54">
        <v>0</v>
      </c>
      <c r="Y142" s="54" t="s">
        <v>1169</v>
      </c>
      <c r="Z142" s="55">
        <v>2642</v>
      </c>
      <c r="AA142" s="122" t="s">
        <v>503</v>
      </c>
      <c r="AB142" s="5" t="s">
        <v>1145</v>
      </c>
      <c r="AC142" s="56" t="s">
        <v>47</v>
      </c>
      <c r="AD142" s="59">
        <v>1.9345162140000001</v>
      </c>
      <c r="AE142" s="59">
        <v>-77.306213779999993</v>
      </c>
      <c r="AF142" s="5" t="s">
        <v>91</v>
      </c>
      <c r="AG142" s="77" t="s">
        <v>75</v>
      </c>
    </row>
    <row r="143" spans="1:33" s="99" customFormat="1" ht="11.4" customHeight="1" x14ac:dyDescent="0.3">
      <c r="A143" s="114" t="s">
        <v>221</v>
      </c>
      <c r="B143" s="43">
        <v>128</v>
      </c>
      <c r="C143" s="94">
        <v>16619</v>
      </c>
      <c r="D143" s="44">
        <v>2024</v>
      </c>
      <c r="E143" s="44" t="s">
        <v>222</v>
      </c>
      <c r="F143" s="45" t="s">
        <v>223</v>
      </c>
      <c r="G143" s="46">
        <v>45558</v>
      </c>
      <c r="H143" s="46">
        <v>46575</v>
      </c>
      <c r="I143" s="47" t="s">
        <v>268</v>
      </c>
      <c r="J143" s="48">
        <v>19364</v>
      </c>
      <c r="K143" s="136" t="s">
        <v>504</v>
      </c>
      <c r="L143" s="8" t="s">
        <v>70</v>
      </c>
      <c r="M143" s="4" t="s">
        <v>225</v>
      </c>
      <c r="N143" s="45" t="s">
        <v>226</v>
      </c>
      <c r="O143" s="45" t="s">
        <v>42</v>
      </c>
      <c r="P143" s="49" t="s">
        <v>42</v>
      </c>
      <c r="Q143" s="49" t="s">
        <v>170</v>
      </c>
      <c r="R143" s="117" t="s">
        <v>343</v>
      </c>
      <c r="S143" s="51">
        <v>0.39100000000000001</v>
      </c>
      <c r="T143" s="51"/>
      <c r="U143" s="52">
        <v>5486294811.0200005</v>
      </c>
      <c r="V143" s="52"/>
      <c r="W143" s="53">
        <f>PROYECTOS_DIH[[#This Row],[VALOR DESEMBOLSOS PROYECTO]]/PROYECTOS_DIH[[#This Row],[Valor Proyecto Inicial.]]</f>
        <v>0.29398196523459125</v>
      </c>
      <c r="X143" s="54">
        <v>1612871730.4000001</v>
      </c>
      <c r="Y143" s="54" t="s">
        <v>1169</v>
      </c>
      <c r="Z143" s="55">
        <v>1487</v>
      </c>
      <c r="AA143" s="122" t="s">
        <v>505</v>
      </c>
      <c r="AB143" s="5" t="s">
        <v>1138</v>
      </c>
      <c r="AC143" s="56" t="s">
        <v>47</v>
      </c>
      <c r="AD143" s="59">
        <v>2.7778373470000002</v>
      </c>
      <c r="AE143" s="59">
        <v>-76.323878179999994</v>
      </c>
      <c r="AF143" s="5" t="s">
        <v>272</v>
      </c>
      <c r="AG143" s="77" t="s">
        <v>75</v>
      </c>
    </row>
    <row r="144" spans="1:33" s="99" customFormat="1" ht="11.4" customHeight="1" x14ac:dyDescent="0.3">
      <c r="A144" s="114" t="s">
        <v>221</v>
      </c>
      <c r="B144" s="43">
        <v>129</v>
      </c>
      <c r="C144" s="94">
        <v>16620</v>
      </c>
      <c r="D144" s="44">
        <v>2024</v>
      </c>
      <c r="E144" s="44" t="s">
        <v>222</v>
      </c>
      <c r="F144" s="45" t="s">
        <v>223</v>
      </c>
      <c r="G144" s="46">
        <v>45558</v>
      </c>
      <c r="H144" s="46">
        <v>46575</v>
      </c>
      <c r="I144" s="4" t="s">
        <v>201</v>
      </c>
      <c r="J144" s="63">
        <v>13248</v>
      </c>
      <c r="K144" s="127" t="s">
        <v>506</v>
      </c>
      <c r="L144" s="8" t="s">
        <v>70</v>
      </c>
      <c r="M144" s="4" t="s">
        <v>225</v>
      </c>
      <c r="N144" s="45" t="s">
        <v>226</v>
      </c>
      <c r="O144" s="49" t="s">
        <v>42</v>
      </c>
      <c r="P144" s="49" t="s">
        <v>42</v>
      </c>
      <c r="Q144" s="49" t="s">
        <v>170</v>
      </c>
      <c r="R144" s="117" t="s">
        <v>350</v>
      </c>
      <c r="S144" s="51">
        <v>0.72840000000000005</v>
      </c>
      <c r="T144" s="51"/>
      <c r="U144" s="52">
        <v>4655287274.5</v>
      </c>
      <c r="V144" s="52"/>
      <c r="W144" s="53">
        <f>PROYECTOS_DIH[[#This Row],[VALOR DESEMBOLSOS PROYECTO]]/PROYECTOS_DIH[[#This Row],[Valor Proyecto Inicial.]]</f>
        <v>0.67379838074050957</v>
      </c>
      <c r="X144" s="54">
        <v>3136725027.4400001</v>
      </c>
      <c r="Y144" s="54" t="s">
        <v>1169</v>
      </c>
      <c r="Z144" s="55">
        <v>4093</v>
      </c>
      <c r="AA144" s="122" t="s">
        <v>507</v>
      </c>
      <c r="AB144" s="5" t="s">
        <v>1152</v>
      </c>
      <c r="AC144" s="56" t="s">
        <v>47</v>
      </c>
      <c r="AD144" s="59">
        <v>10.03091298</v>
      </c>
      <c r="AE144" s="59">
        <v>-74.976113569999995</v>
      </c>
      <c r="AF144" s="5" t="s">
        <v>205</v>
      </c>
      <c r="AG144" s="71" t="s">
        <v>64</v>
      </c>
    </row>
    <row r="145" spans="1:33" s="99" customFormat="1" ht="11.4" customHeight="1" x14ac:dyDescent="0.3">
      <c r="A145" s="114" t="s">
        <v>221</v>
      </c>
      <c r="B145" s="43">
        <v>130</v>
      </c>
      <c r="C145" s="94">
        <v>16621</v>
      </c>
      <c r="D145" s="44">
        <v>2024</v>
      </c>
      <c r="E145" s="44" t="s">
        <v>222</v>
      </c>
      <c r="F145" s="45" t="s">
        <v>223</v>
      </c>
      <c r="G145" s="46">
        <v>45558</v>
      </c>
      <c r="H145" s="46">
        <v>46575</v>
      </c>
      <c r="I145" s="47" t="s">
        <v>394</v>
      </c>
      <c r="J145" s="48">
        <v>70523</v>
      </c>
      <c r="K145" s="127" t="s">
        <v>508</v>
      </c>
      <c r="L145" s="8" t="s">
        <v>70</v>
      </c>
      <c r="M145" s="4" t="s">
        <v>225</v>
      </c>
      <c r="N145" s="45" t="s">
        <v>226</v>
      </c>
      <c r="O145" s="45" t="s">
        <v>42</v>
      </c>
      <c r="P145" s="49" t="s">
        <v>42</v>
      </c>
      <c r="Q145" s="49" t="s">
        <v>170</v>
      </c>
      <c r="R145" s="117" t="s">
        <v>350</v>
      </c>
      <c r="S145" s="67">
        <v>0.43780000000000002</v>
      </c>
      <c r="T145" s="51"/>
      <c r="U145" s="52">
        <v>4577352074.8800001</v>
      </c>
      <c r="V145" s="52"/>
      <c r="W145" s="53">
        <f>PROYECTOS_DIH[[#This Row],[VALOR DESEMBOLSOS PROYECTO]]/PROYECTOS_DIH[[#This Row],[Valor Proyecto Inicial.]]</f>
        <v>0.31749395516360829</v>
      </c>
      <c r="X145" s="54">
        <v>1453281614.4300001</v>
      </c>
      <c r="Y145" s="54" t="s">
        <v>1169</v>
      </c>
      <c r="Z145" s="55">
        <v>4690</v>
      </c>
      <c r="AA145" s="122" t="s">
        <v>509</v>
      </c>
      <c r="AB145" s="5" t="s">
        <v>1133</v>
      </c>
      <c r="AC145" s="56" t="s">
        <v>47</v>
      </c>
      <c r="AD145" s="59">
        <v>9.3331082980000009</v>
      </c>
      <c r="AE145" s="59">
        <v>-75.541259150000002</v>
      </c>
      <c r="AF145" s="5" t="s">
        <v>397</v>
      </c>
      <c r="AG145" s="71" t="s">
        <v>64</v>
      </c>
    </row>
    <row r="146" spans="1:33" s="99" customFormat="1" ht="11.4" customHeight="1" x14ac:dyDescent="0.3">
      <c r="A146" s="114" t="s">
        <v>221</v>
      </c>
      <c r="B146" s="43">
        <v>30</v>
      </c>
      <c r="C146" s="94">
        <v>16622</v>
      </c>
      <c r="D146" s="44">
        <v>2024</v>
      </c>
      <c r="E146" s="44" t="s">
        <v>222</v>
      </c>
      <c r="F146" s="45" t="s">
        <v>223</v>
      </c>
      <c r="G146" s="46">
        <v>45558</v>
      </c>
      <c r="H146" s="46">
        <v>46575</v>
      </c>
      <c r="I146" s="47" t="s">
        <v>242</v>
      </c>
      <c r="J146" s="48">
        <v>81001</v>
      </c>
      <c r="K146" s="96" t="s">
        <v>242</v>
      </c>
      <c r="L146" s="8" t="s">
        <v>70</v>
      </c>
      <c r="M146" s="4" t="s">
        <v>225</v>
      </c>
      <c r="N146" s="45" t="s">
        <v>226</v>
      </c>
      <c r="O146" s="45" t="s">
        <v>42</v>
      </c>
      <c r="P146" s="45"/>
      <c r="Q146" s="49" t="s">
        <v>120</v>
      </c>
      <c r="R146" s="117" t="s">
        <v>245</v>
      </c>
      <c r="S146" s="51">
        <v>0</v>
      </c>
      <c r="T146" s="51"/>
      <c r="U146" s="52">
        <v>3128000000</v>
      </c>
      <c r="V146" s="52"/>
      <c r="W146" s="53">
        <f>PROYECTOS_DIH[[#This Row],[VALOR DESEMBOLSOS PROYECTO]]/PROYECTOS_DIH[[#This Row],[Valor Proyecto Inicial.]]</f>
        <v>0</v>
      </c>
      <c r="X146" s="54">
        <v>0</v>
      </c>
      <c r="Y146" s="54" t="s">
        <v>1169</v>
      </c>
      <c r="Z146" s="55">
        <v>16400</v>
      </c>
      <c r="AA146" s="122" t="s">
        <v>246</v>
      </c>
      <c r="AB146" s="5" t="s">
        <v>1161</v>
      </c>
      <c r="AC146" s="56" t="s">
        <v>96</v>
      </c>
      <c r="AD146" s="59">
        <v>7.077358544</v>
      </c>
      <c r="AE146" s="59">
        <v>-70.746350309999997</v>
      </c>
      <c r="AF146" s="5" t="s">
        <v>243</v>
      </c>
      <c r="AG146" s="120" t="s">
        <v>244</v>
      </c>
    </row>
    <row r="147" spans="1:33" s="99" customFormat="1" ht="11.4" customHeight="1" x14ac:dyDescent="0.3">
      <c r="A147" s="114" t="s">
        <v>221</v>
      </c>
      <c r="B147" s="43">
        <v>131</v>
      </c>
      <c r="C147" s="94">
        <v>16623</v>
      </c>
      <c r="D147" s="44">
        <v>2024</v>
      </c>
      <c r="E147" s="44" t="s">
        <v>222</v>
      </c>
      <c r="F147" s="45" t="s">
        <v>223</v>
      </c>
      <c r="G147" s="46">
        <v>45558</v>
      </c>
      <c r="H147" s="46">
        <v>46575</v>
      </c>
      <c r="I147" s="47" t="s">
        <v>88</v>
      </c>
      <c r="J147" s="48">
        <v>52427</v>
      </c>
      <c r="K147" s="127" t="s">
        <v>510</v>
      </c>
      <c r="L147" s="8" t="s">
        <v>70</v>
      </c>
      <c r="M147" s="4" t="s">
        <v>225</v>
      </c>
      <c r="N147" s="45" t="s">
        <v>226</v>
      </c>
      <c r="O147" s="49" t="s">
        <v>42</v>
      </c>
      <c r="P147" s="49" t="s">
        <v>42</v>
      </c>
      <c r="Q147" s="49" t="s">
        <v>170</v>
      </c>
      <c r="R147" s="117" t="s">
        <v>350</v>
      </c>
      <c r="S147" s="51">
        <v>0.1804</v>
      </c>
      <c r="T147" s="51"/>
      <c r="U147" s="52">
        <v>7060844246.7799997</v>
      </c>
      <c r="V147" s="52"/>
      <c r="W147" s="53">
        <f>PROYECTOS_DIH[[#This Row],[VALOR DESEMBOLSOS PROYECTO]]/PROYECTOS_DIH[[#This Row],[Valor Proyecto Inicial.]]</f>
        <v>3.3534857706000562E-3</v>
      </c>
      <c r="X147" s="54">
        <v>23678440.710000001</v>
      </c>
      <c r="Y147" s="54" t="s">
        <v>1169</v>
      </c>
      <c r="Z147" s="55">
        <v>6610</v>
      </c>
      <c r="AA147" s="122" t="s">
        <v>511</v>
      </c>
      <c r="AB147" s="5" t="s">
        <v>1145</v>
      </c>
      <c r="AC147" s="56" t="s">
        <v>47</v>
      </c>
      <c r="AD147" s="59">
        <v>1.7653136709999999</v>
      </c>
      <c r="AE147" s="59">
        <v>-78.181060779999996</v>
      </c>
      <c r="AF147" s="5" t="s">
        <v>91</v>
      </c>
      <c r="AG147" s="77" t="s">
        <v>75</v>
      </c>
    </row>
    <row r="148" spans="1:33" s="99" customFormat="1" ht="11.4" customHeight="1" x14ac:dyDescent="0.3">
      <c r="A148" s="114" t="s">
        <v>221</v>
      </c>
      <c r="B148" s="43">
        <v>43</v>
      </c>
      <c r="C148" s="194">
        <v>16624</v>
      </c>
      <c r="D148" s="44">
        <v>2024</v>
      </c>
      <c r="E148" s="44" t="s">
        <v>222</v>
      </c>
      <c r="F148" s="45" t="s">
        <v>223</v>
      </c>
      <c r="G148" s="46">
        <v>45558</v>
      </c>
      <c r="H148" s="46">
        <v>46575</v>
      </c>
      <c r="I148" s="47" t="s">
        <v>285</v>
      </c>
      <c r="J148" s="48">
        <v>63001</v>
      </c>
      <c r="K148" s="96" t="s">
        <v>286</v>
      </c>
      <c r="L148" s="8" t="s">
        <v>70</v>
      </c>
      <c r="M148" s="4" t="s">
        <v>225</v>
      </c>
      <c r="N148" s="45" t="s">
        <v>226</v>
      </c>
      <c r="O148" s="49" t="s">
        <v>42</v>
      </c>
      <c r="P148" s="49"/>
      <c r="Q148" s="49" t="s">
        <v>120</v>
      </c>
      <c r="R148" s="117" t="s">
        <v>233</v>
      </c>
      <c r="S148" s="51">
        <v>0</v>
      </c>
      <c r="T148" s="51"/>
      <c r="U148" s="52"/>
      <c r="V148" s="52"/>
      <c r="W148" s="53" t="e">
        <f>PROYECTOS_DIH[[#This Row],[VALOR DESEMBOLSOS PROYECTO]]/PROYECTOS_DIH[[#This Row],[Valor Proyecto Inicial.]]</f>
        <v>#DIV/0!</v>
      </c>
      <c r="X148" s="54">
        <v>0</v>
      </c>
      <c r="Y148" s="54" t="s">
        <v>1169</v>
      </c>
      <c r="Z148" s="55">
        <v>16400</v>
      </c>
      <c r="AA148" s="57" t="s">
        <v>287</v>
      </c>
      <c r="AB148" s="5" t="s">
        <v>1164</v>
      </c>
      <c r="AC148" s="56" t="s">
        <v>62</v>
      </c>
      <c r="AD148" s="59">
        <v>4.5359895019999996</v>
      </c>
      <c r="AE148" s="59">
        <v>-75.680750759999995</v>
      </c>
      <c r="AF148" s="5" t="s">
        <v>288</v>
      </c>
      <c r="AG148" s="60" t="s">
        <v>49</v>
      </c>
    </row>
    <row r="149" spans="1:33" s="99" customFormat="1" ht="11.4" customHeight="1" x14ac:dyDescent="0.3">
      <c r="A149" s="114" t="s">
        <v>221</v>
      </c>
      <c r="B149" s="43">
        <v>360</v>
      </c>
      <c r="C149" s="94">
        <v>16625</v>
      </c>
      <c r="D149" s="44">
        <v>2024</v>
      </c>
      <c r="E149" s="44" t="s">
        <v>222</v>
      </c>
      <c r="F149" s="45" t="s">
        <v>223</v>
      </c>
      <c r="G149" s="46">
        <v>45558</v>
      </c>
      <c r="H149" s="46">
        <v>46575</v>
      </c>
      <c r="I149" s="47" t="s">
        <v>189</v>
      </c>
      <c r="J149" s="48">
        <v>5893</v>
      </c>
      <c r="K149" s="96" t="s">
        <v>1095</v>
      </c>
      <c r="L149" s="8" t="s">
        <v>70</v>
      </c>
      <c r="M149" s="4" t="s">
        <v>225</v>
      </c>
      <c r="N149" s="45" t="s">
        <v>226</v>
      </c>
      <c r="O149" s="45" t="s">
        <v>42</v>
      </c>
      <c r="P149" s="45"/>
      <c r="Q149" s="49" t="s">
        <v>120</v>
      </c>
      <c r="R149" s="117" t="s">
        <v>492</v>
      </c>
      <c r="S149" s="51">
        <v>0</v>
      </c>
      <c r="T149" s="51"/>
      <c r="U149" s="116">
        <v>3702792800</v>
      </c>
      <c r="V149" s="116"/>
      <c r="W149" s="53">
        <f>PROYECTOS_DIH[[#This Row],[VALOR DESEMBOLSOS PROYECTO]]/PROYECTOS_DIH[[#This Row],[Valor Proyecto Inicial.]]</f>
        <v>0</v>
      </c>
      <c r="X149" s="54">
        <v>0</v>
      </c>
      <c r="Y149" s="54" t="s">
        <v>1169</v>
      </c>
      <c r="Z149" s="55">
        <v>16400</v>
      </c>
      <c r="AA149" s="57" t="s">
        <v>1096</v>
      </c>
      <c r="AB149" s="5" t="s">
        <v>1140</v>
      </c>
      <c r="AC149" s="56" t="s">
        <v>47</v>
      </c>
      <c r="AD149" s="59">
        <v>7.0039407340000004</v>
      </c>
      <c r="AE149" s="59">
        <v>-73.912457950000004</v>
      </c>
      <c r="AF149" s="5" t="s">
        <v>339</v>
      </c>
      <c r="AG149" s="126" t="s">
        <v>110</v>
      </c>
    </row>
    <row r="150" spans="1:33" s="99" customFormat="1" ht="11.4" customHeight="1" x14ac:dyDescent="0.3">
      <c r="A150" s="114" t="s">
        <v>221</v>
      </c>
      <c r="B150" s="43">
        <v>133</v>
      </c>
      <c r="C150" s="94">
        <v>16626</v>
      </c>
      <c r="D150" s="44">
        <v>2024</v>
      </c>
      <c r="E150" s="44" t="s">
        <v>222</v>
      </c>
      <c r="F150" s="45" t="s">
        <v>223</v>
      </c>
      <c r="G150" s="46">
        <v>45558</v>
      </c>
      <c r="H150" s="46">
        <v>46575</v>
      </c>
      <c r="I150" s="47" t="s">
        <v>111</v>
      </c>
      <c r="J150" s="48">
        <v>44279</v>
      </c>
      <c r="K150" s="127" t="s">
        <v>514</v>
      </c>
      <c r="L150" s="137" t="s">
        <v>70</v>
      </c>
      <c r="M150" s="4" t="s">
        <v>225</v>
      </c>
      <c r="N150" s="45" t="s">
        <v>226</v>
      </c>
      <c r="O150" s="49" t="s">
        <v>42</v>
      </c>
      <c r="P150" s="49"/>
      <c r="Q150" s="49" t="s">
        <v>59</v>
      </c>
      <c r="R150" s="117" t="s">
        <v>337</v>
      </c>
      <c r="S150" s="51">
        <v>1</v>
      </c>
      <c r="T150" s="51"/>
      <c r="U150" s="52">
        <v>3716536023.5999999</v>
      </c>
      <c r="V150" s="52"/>
      <c r="W150" s="53">
        <f>PROYECTOS_DIH[[#This Row],[VALOR DESEMBOLSOS PROYECTO]]/PROYECTOS_DIH[[#This Row],[Valor Proyecto Inicial.]]</f>
        <v>0.9671551352133112</v>
      </c>
      <c r="X150" s="10">
        <v>3594466900.4299998</v>
      </c>
      <c r="Y150" s="54" t="s">
        <v>1169</v>
      </c>
      <c r="Z150" s="55">
        <v>10000</v>
      </c>
      <c r="AA150" s="122" t="s">
        <v>460</v>
      </c>
      <c r="AB150" s="5" t="s">
        <v>1144</v>
      </c>
      <c r="AC150" s="56" t="s">
        <v>47</v>
      </c>
      <c r="AD150" s="59">
        <v>10.88430067</v>
      </c>
      <c r="AE150" s="59">
        <v>-72.846662240000001</v>
      </c>
      <c r="AF150" s="5" t="s">
        <v>113</v>
      </c>
      <c r="AG150" s="71" t="s">
        <v>64</v>
      </c>
    </row>
    <row r="151" spans="1:33" s="99" customFormat="1" ht="11.4" customHeight="1" x14ac:dyDescent="0.3">
      <c r="A151" s="114" t="s">
        <v>221</v>
      </c>
      <c r="B151" s="43">
        <v>134</v>
      </c>
      <c r="C151" s="94">
        <v>16627</v>
      </c>
      <c r="D151" s="44">
        <v>2024</v>
      </c>
      <c r="E151" s="44" t="s">
        <v>222</v>
      </c>
      <c r="F151" s="45" t="s">
        <v>223</v>
      </c>
      <c r="G151" s="46">
        <v>45558</v>
      </c>
      <c r="H151" s="46">
        <v>46575</v>
      </c>
      <c r="I151" s="47" t="s">
        <v>37</v>
      </c>
      <c r="J151" s="48">
        <v>27425</v>
      </c>
      <c r="K151" s="127" t="s">
        <v>515</v>
      </c>
      <c r="L151" s="8" t="s">
        <v>70</v>
      </c>
      <c r="M151" s="4" t="s">
        <v>225</v>
      </c>
      <c r="N151" s="45" t="s">
        <v>226</v>
      </c>
      <c r="O151" s="45" t="s">
        <v>42</v>
      </c>
      <c r="P151" s="49" t="s">
        <v>42</v>
      </c>
      <c r="Q151" s="49" t="s">
        <v>170</v>
      </c>
      <c r="R151" s="117" t="s">
        <v>350</v>
      </c>
      <c r="S151" s="51">
        <v>3.1E-2</v>
      </c>
      <c r="T151" s="51"/>
      <c r="U151" s="52">
        <v>6405117313.0600004</v>
      </c>
      <c r="V151" s="52"/>
      <c r="W151" s="53">
        <f>PROYECTOS_DIH[[#This Row],[VALOR DESEMBOLSOS PROYECTO]]/PROYECTOS_DIH[[#This Row],[Valor Proyecto Inicial.]]</f>
        <v>3.7105602939605932E-3</v>
      </c>
      <c r="X151" s="54">
        <v>23766573.98</v>
      </c>
      <c r="Y151" s="54" t="s">
        <v>1169</v>
      </c>
      <c r="Z151" s="55">
        <v>898</v>
      </c>
      <c r="AA151" s="122" t="s">
        <v>516</v>
      </c>
      <c r="AB151" s="5" t="s">
        <v>1153</v>
      </c>
      <c r="AC151" s="56" t="s">
        <v>47</v>
      </c>
      <c r="AD151" s="59">
        <v>5.994835471</v>
      </c>
      <c r="AE151" s="59">
        <v>-76.782414220000007</v>
      </c>
      <c r="AF151" s="5" t="s">
        <v>330</v>
      </c>
      <c r="AG151" s="77" t="s">
        <v>75</v>
      </c>
    </row>
    <row r="152" spans="1:33" s="99" customFormat="1" ht="11.4" customHeight="1" x14ac:dyDescent="0.3">
      <c r="A152" s="114" t="s">
        <v>221</v>
      </c>
      <c r="B152" s="43">
        <v>135</v>
      </c>
      <c r="C152" s="94">
        <v>16628</v>
      </c>
      <c r="D152" s="44">
        <v>2024</v>
      </c>
      <c r="E152" s="44" t="s">
        <v>222</v>
      </c>
      <c r="F152" s="45" t="s">
        <v>223</v>
      </c>
      <c r="G152" s="46">
        <v>45558</v>
      </c>
      <c r="H152" s="46">
        <v>46575</v>
      </c>
      <c r="I152" s="47" t="s">
        <v>268</v>
      </c>
      <c r="J152" s="48">
        <v>19821</v>
      </c>
      <c r="K152" s="127" t="s">
        <v>517</v>
      </c>
      <c r="L152" s="8" t="s">
        <v>70</v>
      </c>
      <c r="M152" s="4" t="s">
        <v>225</v>
      </c>
      <c r="N152" s="45" t="s">
        <v>226</v>
      </c>
      <c r="O152" s="45" t="s">
        <v>42</v>
      </c>
      <c r="P152" s="49" t="s">
        <v>42</v>
      </c>
      <c r="Q152" s="49" t="s">
        <v>170</v>
      </c>
      <c r="R152" s="117" t="s">
        <v>343</v>
      </c>
      <c r="S152" s="51">
        <v>0.2319</v>
      </c>
      <c r="T152" s="51"/>
      <c r="U152" s="52">
        <v>5062224621.4700003</v>
      </c>
      <c r="V152" s="52"/>
      <c r="W152" s="53">
        <f>PROYECTOS_DIH[[#This Row],[VALOR DESEMBOLSOS PROYECTO]]/PROYECTOS_DIH[[#This Row],[Valor Proyecto Inicial.]]</f>
        <v>0.1656104194891598</v>
      </c>
      <c r="X152" s="54">
        <v>838357143.11000001</v>
      </c>
      <c r="Y152" s="54" t="s">
        <v>1169</v>
      </c>
      <c r="Z152" s="55">
        <v>1970</v>
      </c>
      <c r="AA152" s="57" t="s">
        <v>518</v>
      </c>
      <c r="AB152" s="5" t="s">
        <v>1138</v>
      </c>
      <c r="AC152" s="56" t="s">
        <v>47</v>
      </c>
      <c r="AD152" s="59">
        <v>2.951450409</v>
      </c>
      <c r="AE152" s="59">
        <v>-76.271127210000003</v>
      </c>
      <c r="AF152" s="5" t="s">
        <v>272</v>
      </c>
      <c r="AG152" s="77" t="s">
        <v>75</v>
      </c>
    </row>
    <row r="153" spans="1:33" s="99" customFormat="1" ht="11.4" customHeight="1" x14ac:dyDescent="0.3">
      <c r="A153" s="114" t="s">
        <v>221</v>
      </c>
      <c r="B153" s="43">
        <v>136</v>
      </c>
      <c r="C153" s="94">
        <v>16629</v>
      </c>
      <c r="D153" s="44">
        <v>2024</v>
      </c>
      <c r="E153" s="44" t="s">
        <v>222</v>
      </c>
      <c r="F153" s="45" t="s">
        <v>223</v>
      </c>
      <c r="G153" s="46">
        <v>45558</v>
      </c>
      <c r="H153" s="46">
        <v>46575</v>
      </c>
      <c r="I153" s="47" t="s">
        <v>189</v>
      </c>
      <c r="J153" s="48">
        <v>5234</v>
      </c>
      <c r="K153" s="127" t="s">
        <v>519</v>
      </c>
      <c r="L153" s="8" t="s">
        <v>70</v>
      </c>
      <c r="M153" s="4" t="s">
        <v>225</v>
      </c>
      <c r="N153" s="45" t="s">
        <v>226</v>
      </c>
      <c r="O153" s="45" t="s">
        <v>42</v>
      </c>
      <c r="P153" s="45"/>
      <c r="Q153" s="49" t="s">
        <v>44</v>
      </c>
      <c r="R153" s="117" t="s">
        <v>520</v>
      </c>
      <c r="S153" s="51">
        <v>0</v>
      </c>
      <c r="T153" s="51"/>
      <c r="U153" s="128">
        <v>5346269886.5600004</v>
      </c>
      <c r="V153" s="128"/>
      <c r="W153" s="53">
        <f>PROYECTOS_DIH[[#This Row],[VALOR DESEMBOLSOS PROYECTO]]/PROYECTOS_DIH[[#This Row],[Valor Proyecto Inicial.]]</f>
        <v>0</v>
      </c>
      <c r="X153" s="54">
        <v>0</v>
      </c>
      <c r="Y153" s="54" t="s">
        <v>1169</v>
      </c>
      <c r="Z153" s="55">
        <v>8877</v>
      </c>
      <c r="AA153" s="122" t="s">
        <v>521</v>
      </c>
      <c r="AB153" s="5" t="s">
        <v>1149</v>
      </c>
      <c r="AC153" s="56" t="s">
        <v>47</v>
      </c>
      <c r="AD153" s="59">
        <v>7.0003219400000001</v>
      </c>
      <c r="AE153" s="59">
        <v>-76.262976649999999</v>
      </c>
      <c r="AF153" s="5" t="s">
        <v>191</v>
      </c>
      <c r="AG153" s="110" t="s">
        <v>49</v>
      </c>
    </row>
    <row r="154" spans="1:33" s="99" customFormat="1" ht="11.4" customHeight="1" x14ac:dyDescent="0.3">
      <c r="A154" s="114" t="s">
        <v>221</v>
      </c>
      <c r="B154" s="43">
        <v>323</v>
      </c>
      <c r="C154" s="94">
        <v>16630</v>
      </c>
      <c r="D154" s="44">
        <v>2024</v>
      </c>
      <c r="E154" s="44" t="s">
        <v>222</v>
      </c>
      <c r="F154" s="45" t="s">
        <v>223</v>
      </c>
      <c r="G154" s="46">
        <v>45558</v>
      </c>
      <c r="H154" s="46">
        <v>46575</v>
      </c>
      <c r="I154" s="47" t="s">
        <v>394</v>
      </c>
      <c r="J154" s="48">
        <v>70001</v>
      </c>
      <c r="K154" s="96" t="s">
        <v>1016</v>
      </c>
      <c r="L154" s="8" t="s">
        <v>70</v>
      </c>
      <c r="M154" s="4" t="s">
        <v>225</v>
      </c>
      <c r="N154" s="45" t="s">
        <v>226</v>
      </c>
      <c r="O154" s="49" t="s">
        <v>42</v>
      </c>
      <c r="P154" s="49"/>
      <c r="Q154" s="49" t="s">
        <v>120</v>
      </c>
      <c r="R154" s="117" t="s">
        <v>384</v>
      </c>
      <c r="S154" s="51">
        <v>0</v>
      </c>
      <c r="T154" s="51"/>
      <c r="U154" s="118">
        <v>4467443722.7875004</v>
      </c>
      <c r="V154" s="118"/>
      <c r="W154" s="53">
        <f>PROYECTOS_DIH[[#This Row],[VALOR DESEMBOLSOS PROYECTO]]/PROYECTOS_DIH[[#This Row],[Valor Proyecto Inicial.]]</f>
        <v>0</v>
      </c>
      <c r="X154" s="54">
        <v>0</v>
      </c>
      <c r="Y154" s="54" t="s">
        <v>1169</v>
      </c>
      <c r="Z154" s="55">
        <v>16400</v>
      </c>
      <c r="AA154" s="122" t="s">
        <v>1017</v>
      </c>
      <c r="AB154" s="187" t="s">
        <v>1133</v>
      </c>
      <c r="AC154" s="56" t="s">
        <v>62</v>
      </c>
      <c r="AD154" s="59">
        <v>9.3023331040000006</v>
      </c>
      <c r="AE154" s="59">
        <v>-75.395483560000002</v>
      </c>
      <c r="AF154" s="187" t="s">
        <v>397</v>
      </c>
      <c r="AG154" s="71" t="s">
        <v>64</v>
      </c>
    </row>
    <row r="155" spans="1:33" s="99" customFormat="1" ht="11.4" customHeight="1" x14ac:dyDescent="0.3">
      <c r="A155" s="114" t="s">
        <v>221</v>
      </c>
      <c r="B155" s="43">
        <v>277</v>
      </c>
      <c r="C155" s="94">
        <v>16631</v>
      </c>
      <c r="D155" s="44">
        <v>2024</v>
      </c>
      <c r="E155" s="44" t="s">
        <v>222</v>
      </c>
      <c r="F155" s="45" t="s">
        <v>223</v>
      </c>
      <c r="G155" s="46">
        <v>45558</v>
      </c>
      <c r="H155" s="46">
        <v>46575</v>
      </c>
      <c r="I155" s="47" t="s">
        <v>37</v>
      </c>
      <c r="J155" s="48">
        <v>27615</v>
      </c>
      <c r="K155" s="96" t="s">
        <v>919</v>
      </c>
      <c r="L155" s="8" t="s">
        <v>70</v>
      </c>
      <c r="M155" s="4" t="s">
        <v>225</v>
      </c>
      <c r="N155" s="45" t="s">
        <v>226</v>
      </c>
      <c r="O155" s="49" t="s">
        <v>42</v>
      </c>
      <c r="P155" s="49"/>
      <c r="Q155" s="45" t="s">
        <v>120</v>
      </c>
      <c r="R155" s="50" t="s">
        <v>227</v>
      </c>
      <c r="S155" s="51">
        <v>0</v>
      </c>
      <c r="T155" s="51"/>
      <c r="U155" s="118"/>
      <c r="V155" s="118"/>
      <c r="W155" s="53" t="e">
        <f>PROYECTOS_DIH[[#This Row],[VALOR DESEMBOLSOS PROYECTO]]/PROYECTOS_DIH[[#This Row],[Valor Proyecto Inicial.]]</f>
        <v>#DIV/0!</v>
      </c>
      <c r="X155" s="54">
        <v>0</v>
      </c>
      <c r="Y155" s="54" t="s">
        <v>1169</v>
      </c>
      <c r="Z155" s="55">
        <v>16400</v>
      </c>
      <c r="AA155" s="57" t="s">
        <v>920</v>
      </c>
      <c r="AB155" s="5" t="s">
        <v>1141</v>
      </c>
      <c r="AC155" s="56" t="s">
        <v>47</v>
      </c>
      <c r="AD155" s="59">
        <v>7.4366315519999997</v>
      </c>
      <c r="AE155" s="59">
        <v>-77.113109589999993</v>
      </c>
      <c r="AF155" s="5" t="s">
        <v>48</v>
      </c>
      <c r="AG155" s="60" t="s">
        <v>49</v>
      </c>
    </row>
    <row r="156" spans="1:33" s="99" customFormat="1" ht="11.4" customHeight="1" x14ac:dyDescent="0.3">
      <c r="A156" s="114" t="s">
        <v>221</v>
      </c>
      <c r="B156" s="43">
        <v>137</v>
      </c>
      <c r="C156" s="94">
        <v>16632</v>
      </c>
      <c r="D156" s="44">
        <v>2024</v>
      </c>
      <c r="E156" s="44" t="s">
        <v>222</v>
      </c>
      <c r="F156" s="45" t="s">
        <v>223</v>
      </c>
      <c r="G156" s="46">
        <v>45558</v>
      </c>
      <c r="H156" s="46">
        <v>46575</v>
      </c>
      <c r="I156" s="47" t="s">
        <v>386</v>
      </c>
      <c r="J156" s="48">
        <v>20001</v>
      </c>
      <c r="K156" s="127" t="s">
        <v>522</v>
      </c>
      <c r="L156" s="8" t="s">
        <v>70</v>
      </c>
      <c r="M156" s="4" t="s">
        <v>225</v>
      </c>
      <c r="N156" s="45" t="s">
        <v>226</v>
      </c>
      <c r="O156" s="45" t="s">
        <v>42</v>
      </c>
      <c r="P156" s="45"/>
      <c r="Q156" s="49" t="s">
        <v>170</v>
      </c>
      <c r="R156" s="117" t="s">
        <v>350</v>
      </c>
      <c r="S156" s="51">
        <v>9.9000000000000008E-3</v>
      </c>
      <c r="T156" s="51"/>
      <c r="U156" s="52">
        <v>4328556219.9099998</v>
      </c>
      <c r="V156" s="52"/>
      <c r="W156" s="53">
        <f>PROYECTOS_DIH[[#This Row],[VALOR DESEMBOLSOS PROYECTO]]/PROYECTOS_DIH[[#This Row],[Valor Proyecto Inicial.]]</f>
        <v>5.5046537111848853E-3</v>
      </c>
      <c r="X156" s="54">
        <v>23827203.059999999</v>
      </c>
      <c r="Y156" s="54" t="s">
        <v>1169</v>
      </c>
      <c r="Z156" s="55">
        <v>10000</v>
      </c>
      <c r="AA156" s="122" t="s">
        <v>523</v>
      </c>
      <c r="AB156" s="5" t="s">
        <v>1143</v>
      </c>
      <c r="AC156" s="56" t="s">
        <v>47</v>
      </c>
      <c r="AD156" s="59">
        <v>10.46048122</v>
      </c>
      <c r="AE156" s="59">
        <v>-73.259389310000003</v>
      </c>
      <c r="AF156" s="5" t="s">
        <v>389</v>
      </c>
      <c r="AG156" s="71" t="s">
        <v>64</v>
      </c>
    </row>
    <row r="157" spans="1:33" s="99" customFormat="1" ht="11.4" customHeight="1" x14ac:dyDescent="0.3">
      <c r="A157" s="114" t="s">
        <v>221</v>
      </c>
      <c r="B157" s="43">
        <v>138</v>
      </c>
      <c r="C157" s="94">
        <v>16633</v>
      </c>
      <c r="D157" s="44">
        <v>2024</v>
      </c>
      <c r="E157" s="44" t="s">
        <v>222</v>
      </c>
      <c r="F157" s="45" t="s">
        <v>223</v>
      </c>
      <c r="G157" s="46">
        <v>45558</v>
      </c>
      <c r="H157" s="46">
        <v>46575</v>
      </c>
      <c r="I157" s="47" t="s">
        <v>37</v>
      </c>
      <c r="J157" s="48">
        <v>27361</v>
      </c>
      <c r="K157" s="127" t="s">
        <v>524</v>
      </c>
      <c r="L157" s="8" t="s">
        <v>70</v>
      </c>
      <c r="M157" s="4" t="s">
        <v>225</v>
      </c>
      <c r="N157" s="45" t="s">
        <v>226</v>
      </c>
      <c r="O157" s="45" t="s">
        <v>42</v>
      </c>
      <c r="P157" s="49" t="s">
        <v>42</v>
      </c>
      <c r="Q157" s="49" t="s">
        <v>170</v>
      </c>
      <c r="R157" s="117" t="s">
        <v>350</v>
      </c>
      <c r="S157" s="51">
        <v>0.2087</v>
      </c>
      <c r="T157" s="51"/>
      <c r="U157" s="52">
        <v>5397956755.4499998</v>
      </c>
      <c r="V157" s="52"/>
      <c r="W157" s="53">
        <f>PROYECTOS_DIH[[#This Row],[VALOR DESEMBOLSOS PROYECTO]]/PROYECTOS_DIH[[#This Row],[Valor Proyecto Inicial.]]</f>
        <v>0.30402537781597855</v>
      </c>
      <c r="X157" s="54">
        <v>1641115842.01</v>
      </c>
      <c r="Y157" s="54" t="s">
        <v>1169</v>
      </c>
      <c r="Z157" s="55">
        <v>10000</v>
      </c>
      <c r="AA157" s="122" t="s">
        <v>370</v>
      </c>
      <c r="AB157" s="5" t="s">
        <v>1153</v>
      </c>
      <c r="AC157" s="56" t="s">
        <v>47</v>
      </c>
      <c r="AD157" s="59">
        <v>5.1539464959999997</v>
      </c>
      <c r="AE157" s="59">
        <v>-76.685180320000001</v>
      </c>
      <c r="AF157" s="5" t="s">
        <v>330</v>
      </c>
      <c r="AG157" s="77" t="s">
        <v>75</v>
      </c>
    </row>
    <row r="158" spans="1:33" s="99" customFormat="1" ht="11.4" customHeight="1" x14ac:dyDescent="0.3">
      <c r="A158" s="114" t="s">
        <v>221</v>
      </c>
      <c r="B158" s="43">
        <v>140</v>
      </c>
      <c r="C158" s="94">
        <v>16634</v>
      </c>
      <c r="D158" s="44">
        <v>2024</v>
      </c>
      <c r="E158" s="44" t="s">
        <v>222</v>
      </c>
      <c r="F158" s="45" t="s">
        <v>223</v>
      </c>
      <c r="G158" s="46">
        <v>45558</v>
      </c>
      <c r="H158" s="46">
        <v>46575</v>
      </c>
      <c r="I158" s="47" t="s">
        <v>183</v>
      </c>
      <c r="J158" s="48">
        <v>95001</v>
      </c>
      <c r="K158" s="96" t="s">
        <v>184</v>
      </c>
      <c r="L158" s="8" t="s">
        <v>70</v>
      </c>
      <c r="M158" s="4" t="s">
        <v>225</v>
      </c>
      <c r="N158" s="45" t="s">
        <v>226</v>
      </c>
      <c r="O158" s="45" t="s">
        <v>42</v>
      </c>
      <c r="P158" s="49" t="s">
        <v>42</v>
      </c>
      <c r="Q158" s="49" t="s">
        <v>170</v>
      </c>
      <c r="R158" s="117" t="s">
        <v>419</v>
      </c>
      <c r="S158" s="51">
        <v>0.65</v>
      </c>
      <c r="T158" s="51"/>
      <c r="U158" s="52">
        <v>3800996206.9000001</v>
      </c>
      <c r="V158" s="52"/>
      <c r="W158" s="53">
        <f>PROYECTOS_DIH[[#This Row],[VALOR DESEMBOLSOS PROYECTO]]/PROYECTOS_DIH[[#This Row],[Valor Proyecto Inicial.]]</f>
        <v>0.36164517940182322</v>
      </c>
      <c r="X158" s="54">
        <v>1374611955.1500001</v>
      </c>
      <c r="Y158" s="54" t="s">
        <v>1169</v>
      </c>
      <c r="Z158" s="55">
        <v>10000</v>
      </c>
      <c r="AA158" s="122" t="s">
        <v>501</v>
      </c>
      <c r="AB158" s="5" t="s">
        <v>1151</v>
      </c>
      <c r="AC158" s="56" t="s">
        <v>47</v>
      </c>
      <c r="AD158" s="59">
        <v>2.5664283989999999</v>
      </c>
      <c r="AE158" s="59">
        <v>-72.638986220000007</v>
      </c>
      <c r="AF158" s="5" t="s">
        <v>187</v>
      </c>
      <c r="AG158" s="109" t="s">
        <v>188</v>
      </c>
    </row>
    <row r="159" spans="1:33" s="99" customFormat="1" ht="11.4" customHeight="1" x14ac:dyDescent="0.3">
      <c r="A159" s="114" t="s">
        <v>221</v>
      </c>
      <c r="B159" s="43">
        <v>54</v>
      </c>
      <c r="C159" s="94">
        <v>16635</v>
      </c>
      <c r="D159" s="44">
        <v>2024</v>
      </c>
      <c r="E159" s="44" t="s">
        <v>222</v>
      </c>
      <c r="F159" s="45" t="s">
        <v>223</v>
      </c>
      <c r="G159" s="46">
        <v>45558</v>
      </c>
      <c r="H159" s="46">
        <v>46575</v>
      </c>
      <c r="I159" s="47" t="s">
        <v>268</v>
      </c>
      <c r="J159" s="48">
        <v>19075</v>
      </c>
      <c r="K159" s="96" t="s">
        <v>334</v>
      </c>
      <c r="L159" s="8" t="s">
        <v>70</v>
      </c>
      <c r="M159" s="4" t="s">
        <v>225</v>
      </c>
      <c r="N159" s="45" t="s">
        <v>226</v>
      </c>
      <c r="O159" s="49" t="s">
        <v>42</v>
      </c>
      <c r="P159" s="49"/>
      <c r="Q159" s="45" t="s">
        <v>120</v>
      </c>
      <c r="R159" s="50" t="s">
        <v>227</v>
      </c>
      <c r="S159" s="51">
        <v>0</v>
      </c>
      <c r="T159" s="51"/>
      <c r="U159" s="118"/>
      <c r="V159" s="118"/>
      <c r="W159" s="53" t="e">
        <f>PROYECTOS_DIH[[#This Row],[VALOR DESEMBOLSOS PROYECTO]]/PROYECTOS_DIH[[#This Row],[Valor Proyecto Inicial.]]</f>
        <v>#DIV/0!</v>
      </c>
      <c r="X159" s="54">
        <v>0</v>
      </c>
      <c r="Y159" s="54" t="s">
        <v>1169</v>
      </c>
      <c r="Z159" s="55">
        <v>1949</v>
      </c>
      <c r="AA159" s="57" t="s">
        <v>335</v>
      </c>
      <c r="AB159" s="5" t="s">
        <v>1138</v>
      </c>
      <c r="AC159" s="56" t="s">
        <v>47</v>
      </c>
      <c r="AD159" s="59">
        <v>2.0404787679999998</v>
      </c>
      <c r="AE159" s="59">
        <v>-77.215898139999993</v>
      </c>
      <c r="AF159" s="5" t="s">
        <v>272</v>
      </c>
      <c r="AG159" s="77" t="s">
        <v>75</v>
      </c>
    </row>
    <row r="160" spans="1:33" s="99" customFormat="1" ht="11.4" customHeight="1" x14ac:dyDescent="0.3">
      <c r="A160" s="114" t="s">
        <v>221</v>
      </c>
      <c r="B160" s="43">
        <v>141</v>
      </c>
      <c r="C160" s="94">
        <v>16636</v>
      </c>
      <c r="D160" s="44">
        <v>2024</v>
      </c>
      <c r="E160" s="44" t="s">
        <v>222</v>
      </c>
      <c r="F160" s="45" t="s">
        <v>223</v>
      </c>
      <c r="G160" s="46">
        <v>45558</v>
      </c>
      <c r="H160" s="46">
        <v>46575</v>
      </c>
      <c r="I160" s="47" t="s">
        <v>268</v>
      </c>
      <c r="J160" s="48">
        <v>19532</v>
      </c>
      <c r="K160" s="127" t="s">
        <v>528</v>
      </c>
      <c r="L160" s="8" t="s">
        <v>70</v>
      </c>
      <c r="M160" s="4" t="s">
        <v>225</v>
      </c>
      <c r="N160" s="45" t="s">
        <v>226</v>
      </c>
      <c r="O160" s="45" t="s">
        <v>42</v>
      </c>
      <c r="P160" s="49" t="s">
        <v>42</v>
      </c>
      <c r="Q160" s="49" t="s">
        <v>170</v>
      </c>
      <c r="R160" s="117" t="s">
        <v>350</v>
      </c>
      <c r="S160" s="51">
        <v>0.56200000000000006</v>
      </c>
      <c r="T160" s="51"/>
      <c r="U160" s="52">
        <v>5241555935.3599997</v>
      </c>
      <c r="V160" s="52"/>
      <c r="W160" s="53">
        <f>PROYECTOS_DIH[[#This Row],[VALOR DESEMBOLSOS PROYECTO]]/PROYECTOS_DIH[[#This Row],[Valor Proyecto Inicial.]]</f>
        <v>0.3910371429851443</v>
      </c>
      <c r="X160" s="54">
        <v>2049643057.76</v>
      </c>
      <c r="Y160" s="54" t="s">
        <v>1169</v>
      </c>
      <c r="Z160" s="55">
        <v>10000</v>
      </c>
      <c r="AA160" s="122" t="s">
        <v>529</v>
      </c>
      <c r="AB160" s="5" t="s">
        <v>1138</v>
      </c>
      <c r="AC160" s="56" t="s">
        <v>47</v>
      </c>
      <c r="AD160" s="59">
        <v>2.1156702269999998</v>
      </c>
      <c r="AE160" s="59">
        <v>-76.980978590000007</v>
      </c>
      <c r="AF160" s="5" t="s">
        <v>272</v>
      </c>
      <c r="AG160" s="77" t="s">
        <v>75</v>
      </c>
    </row>
    <row r="161" spans="1:33" s="99" customFormat="1" ht="11.4" customHeight="1" x14ac:dyDescent="0.3">
      <c r="A161" s="114" t="s">
        <v>221</v>
      </c>
      <c r="B161" s="43">
        <v>142</v>
      </c>
      <c r="C161" s="94">
        <v>16637</v>
      </c>
      <c r="D161" s="44">
        <v>2024</v>
      </c>
      <c r="E161" s="44" t="s">
        <v>222</v>
      </c>
      <c r="F161" s="45" t="s">
        <v>223</v>
      </c>
      <c r="G161" s="46">
        <v>45558</v>
      </c>
      <c r="H161" s="46">
        <v>46575</v>
      </c>
      <c r="I161" s="47" t="s">
        <v>268</v>
      </c>
      <c r="J161" s="48">
        <v>19450</v>
      </c>
      <c r="K161" s="96" t="s">
        <v>530</v>
      </c>
      <c r="L161" s="8" t="s">
        <v>70</v>
      </c>
      <c r="M161" s="4" t="s">
        <v>225</v>
      </c>
      <c r="N161" s="45" t="s">
        <v>226</v>
      </c>
      <c r="O161" s="45" t="s">
        <v>42</v>
      </c>
      <c r="P161" s="49" t="s">
        <v>42</v>
      </c>
      <c r="Q161" s="49" t="s">
        <v>170</v>
      </c>
      <c r="R161" s="117" t="s">
        <v>419</v>
      </c>
      <c r="S161" s="51">
        <v>0.54600000000000004</v>
      </c>
      <c r="T161" s="51"/>
      <c r="U161" s="52">
        <v>5366136929.2399998</v>
      </c>
      <c r="V161" s="52"/>
      <c r="W161" s="53">
        <f>PROYECTOS_DIH[[#This Row],[VALOR DESEMBOLSOS PROYECTO]]/PROYECTOS_DIH[[#This Row],[Valor Proyecto Inicial.]]</f>
        <v>0.3375150081096629</v>
      </c>
      <c r="X161" s="54">
        <v>1811151749.1900001</v>
      </c>
      <c r="Y161" s="54" t="s">
        <v>1169</v>
      </c>
      <c r="Z161" s="55">
        <v>5669</v>
      </c>
      <c r="AA161" s="122" t="s">
        <v>531</v>
      </c>
      <c r="AB161" s="5" t="s">
        <v>1138</v>
      </c>
      <c r="AC161" s="56" t="s">
        <v>47</v>
      </c>
      <c r="AD161" s="59">
        <v>1.775772495</v>
      </c>
      <c r="AE161" s="59">
        <v>-77.165844320000005</v>
      </c>
      <c r="AF161" s="5" t="s">
        <v>272</v>
      </c>
      <c r="AG161" s="77" t="s">
        <v>75</v>
      </c>
    </row>
    <row r="162" spans="1:33" s="99" customFormat="1" ht="11.4" customHeight="1" x14ac:dyDescent="0.3">
      <c r="A162" s="114" t="s">
        <v>221</v>
      </c>
      <c r="B162" s="43">
        <v>143</v>
      </c>
      <c r="C162" s="94">
        <v>16638</v>
      </c>
      <c r="D162" s="44">
        <v>2024</v>
      </c>
      <c r="E162" s="44" t="s">
        <v>222</v>
      </c>
      <c r="F162" s="45" t="s">
        <v>223</v>
      </c>
      <c r="G162" s="46">
        <v>45558</v>
      </c>
      <c r="H162" s="46">
        <v>46575</v>
      </c>
      <c r="I162" s="47" t="s">
        <v>88</v>
      </c>
      <c r="J162" s="48">
        <v>52418</v>
      </c>
      <c r="K162" s="127" t="s">
        <v>532</v>
      </c>
      <c r="L162" s="8" t="s">
        <v>70</v>
      </c>
      <c r="M162" s="4" t="s">
        <v>225</v>
      </c>
      <c r="N162" s="45" t="s">
        <v>226</v>
      </c>
      <c r="O162" s="49" t="s">
        <v>42</v>
      </c>
      <c r="P162" s="49"/>
      <c r="Q162" s="49" t="s">
        <v>170</v>
      </c>
      <c r="R162" s="117" t="s">
        <v>350</v>
      </c>
      <c r="S162" s="51">
        <v>0.27750000000000002</v>
      </c>
      <c r="T162" s="51"/>
      <c r="U162" s="52">
        <v>5177186172.6300001</v>
      </c>
      <c r="V162" s="52"/>
      <c r="W162" s="53">
        <f>PROYECTOS_DIH[[#This Row],[VALOR DESEMBOLSOS PROYECTO]]/PROYECTOS_DIH[[#This Row],[Valor Proyecto Inicial.]]</f>
        <v>1.8294447937900907E-3</v>
      </c>
      <c r="X162" s="54">
        <v>9471376.2899999991</v>
      </c>
      <c r="Y162" s="54" t="s">
        <v>1169</v>
      </c>
      <c r="Z162" s="55">
        <v>4045</v>
      </c>
      <c r="AA162" s="122" t="s">
        <v>533</v>
      </c>
      <c r="AB162" s="5" t="s">
        <v>1145</v>
      </c>
      <c r="AC162" s="56" t="s">
        <v>47</v>
      </c>
      <c r="AD162" s="59">
        <v>1.4945474050000001</v>
      </c>
      <c r="AE162" s="59">
        <v>-77.521325959999999</v>
      </c>
      <c r="AF162" s="5" t="s">
        <v>91</v>
      </c>
      <c r="AG162" s="77" t="s">
        <v>75</v>
      </c>
    </row>
    <row r="163" spans="1:33" s="99" customFormat="1" ht="11.4" customHeight="1" x14ac:dyDescent="0.3">
      <c r="A163" s="114" t="s">
        <v>221</v>
      </c>
      <c r="B163" s="43">
        <v>145</v>
      </c>
      <c r="C163" s="94">
        <v>16639</v>
      </c>
      <c r="D163" s="44">
        <v>2024</v>
      </c>
      <c r="E163" s="44" t="s">
        <v>222</v>
      </c>
      <c r="F163" s="45" t="s">
        <v>223</v>
      </c>
      <c r="G163" s="46">
        <v>45558</v>
      </c>
      <c r="H163" s="46">
        <v>46575</v>
      </c>
      <c r="I163" s="47" t="s">
        <v>160</v>
      </c>
      <c r="J163" s="115">
        <v>73067</v>
      </c>
      <c r="K163" s="96" t="s">
        <v>300</v>
      </c>
      <c r="L163" s="8" t="s">
        <v>70</v>
      </c>
      <c r="M163" s="4" t="s">
        <v>225</v>
      </c>
      <c r="N163" s="45" t="s">
        <v>226</v>
      </c>
      <c r="O163" s="49" t="s">
        <v>42</v>
      </c>
      <c r="P163" s="49" t="s">
        <v>42</v>
      </c>
      <c r="Q163" s="49" t="s">
        <v>170</v>
      </c>
      <c r="R163" s="117" t="s">
        <v>350</v>
      </c>
      <c r="S163" s="51">
        <v>0.67</v>
      </c>
      <c r="T163" s="51"/>
      <c r="U163" s="52">
        <v>3263401099.0100002</v>
      </c>
      <c r="V163" s="52"/>
      <c r="W163" s="53">
        <f>PROYECTOS_DIH[[#This Row],[VALOR DESEMBOLSOS PROYECTO]]/PROYECTOS_DIH[[#This Row],[Valor Proyecto Inicial.]]</f>
        <v>0.57126523160010967</v>
      </c>
      <c r="X163" s="54">
        <v>1864267584.6300001</v>
      </c>
      <c r="Y163" s="54" t="s">
        <v>1169</v>
      </c>
      <c r="Z163" s="55">
        <v>4813</v>
      </c>
      <c r="AA163" s="122" t="s">
        <v>536</v>
      </c>
      <c r="AB163" s="5" t="s">
        <v>1146</v>
      </c>
      <c r="AC163" s="56" t="s">
        <v>47</v>
      </c>
      <c r="AD163" s="59">
        <v>3.5906357369999999</v>
      </c>
      <c r="AE163" s="59">
        <v>-75.38253426</v>
      </c>
      <c r="AF163" s="5" t="s">
        <v>163</v>
      </c>
      <c r="AG163" s="81" t="s">
        <v>80</v>
      </c>
    </row>
    <row r="164" spans="1:33" s="99" customFormat="1" ht="11.4" customHeight="1" x14ac:dyDescent="0.3">
      <c r="A164" s="114" t="s">
        <v>221</v>
      </c>
      <c r="B164" s="43">
        <v>146</v>
      </c>
      <c r="C164" s="94">
        <v>16640</v>
      </c>
      <c r="D164" s="44">
        <v>2024</v>
      </c>
      <c r="E164" s="44" t="s">
        <v>222</v>
      </c>
      <c r="F164" s="45" t="s">
        <v>223</v>
      </c>
      <c r="G164" s="46">
        <v>45558</v>
      </c>
      <c r="H164" s="46">
        <v>46575</v>
      </c>
      <c r="I164" s="47" t="s">
        <v>37</v>
      </c>
      <c r="J164" s="48">
        <v>27205</v>
      </c>
      <c r="K164" s="127" t="s">
        <v>538</v>
      </c>
      <c r="L164" s="8" t="s">
        <v>70</v>
      </c>
      <c r="M164" s="4" t="s">
        <v>225</v>
      </c>
      <c r="N164" s="45" t="s">
        <v>226</v>
      </c>
      <c r="O164" s="45" t="s">
        <v>42</v>
      </c>
      <c r="P164" s="49" t="s">
        <v>42</v>
      </c>
      <c r="Q164" s="49" t="s">
        <v>170</v>
      </c>
      <c r="R164" s="117" t="s">
        <v>350</v>
      </c>
      <c r="S164" s="51">
        <v>0.37219999999999998</v>
      </c>
      <c r="T164" s="51"/>
      <c r="U164" s="52">
        <v>5082153111.1700001</v>
      </c>
      <c r="V164" s="52"/>
      <c r="W164" s="53">
        <f>PROYECTOS_DIH[[#This Row],[VALOR DESEMBOLSOS PROYECTO]]/PROYECTOS_DIH[[#This Row],[Valor Proyecto Inicial.]]</f>
        <v>0.38106079737809373</v>
      </c>
      <c r="X164" s="54">
        <v>1936609316.9400001</v>
      </c>
      <c r="Y164" s="54" t="s">
        <v>1169</v>
      </c>
      <c r="Z164" s="55">
        <v>9534</v>
      </c>
      <c r="AA164" s="122" t="s">
        <v>370</v>
      </c>
      <c r="AB164" s="5" t="s">
        <v>1153</v>
      </c>
      <c r="AC164" s="56" t="s">
        <v>47</v>
      </c>
      <c r="AD164" s="59">
        <v>5.0910032080000001</v>
      </c>
      <c r="AE164" s="59">
        <v>-76.650682660000001</v>
      </c>
      <c r="AF164" s="5" t="s">
        <v>330</v>
      </c>
      <c r="AG164" s="77" t="s">
        <v>75</v>
      </c>
    </row>
    <row r="165" spans="1:33" s="99" customFormat="1" ht="11.4" customHeight="1" x14ac:dyDescent="0.3">
      <c r="A165" s="114" t="s">
        <v>221</v>
      </c>
      <c r="B165" s="43">
        <v>147</v>
      </c>
      <c r="C165" s="94">
        <v>16641</v>
      </c>
      <c r="D165" s="44">
        <v>2024</v>
      </c>
      <c r="E165" s="44" t="s">
        <v>222</v>
      </c>
      <c r="F165" s="45" t="s">
        <v>223</v>
      </c>
      <c r="G165" s="46">
        <v>45558</v>
      </c>
      <c r="H165" s="46">
        <v>46575</v>
      </c>
      <c r="I165" s="47" t="s">
        <v>176</v>
      </c>
      <c r="J165" s="48">
        <v>54810</v>
      </c>
      <c r="K165" s="127" t="s">
        <v>539</v>
      </c>
      <c r="L165" s="8" t="s">
        <v>70</v>
      </c>
      <c r="M165" s="4" t="s">
        <v>225</v>
      </c>
      <c r="N165" s="45" t="s">
        <v>226</v>
      </c>
      <c r="O165" s="49" t="s">
        <v>42</v>
      </c>
      <c r="P165" s="49"/>
      <c r="Q165" s="49" t="s">
        <v>44</v>
      </c>
      <c r="R165" s="117" t="s">
        <v>540</v>
      </c>
      <c r="S165" s="51">
        <v>0</v>
      </c>
      <c r="T165" s="51"/>
      <c r="U165" s="52">
        <v>3906596731.6399999</v>
      </c>
      <c r="V165" s="52"/>
      <c r="W165" s="53">
        <f>PROYECTOS_DIH[[#This Row],[VALOR DESEMBOLSOS PROYECTO]]/PROYECTOS_DIH[[#This Row],[Valor Proyecto Inicial.]]</f>
        <v>0</v>
      </c>
      <c r="X165" s="54">
        <v>0</v>
      </c>
      <c r="Y165" s="54" t="s">
        <v>1169</v>
      </c>
      <c r="Z165" s="55">
        <v>16400</v>
      </c>
      <c r="AA165" s="122" t="s">
        <v>541</v>
      </c>
      <c r="AB165" s="5" t="s">
        <v>1136</v>
      </c>
      <c r="AC165" s="56" t="s">
        <v>47</v>
      </c>
      <c r="AD165" s="59">
        <v>8.6395488530000009</v>
      </c>
      <c r="AE165" s="59">
        <v>-72.73591863</v>
      </c>
      <c r="AF165" s="5" t="s">
        <v>180</v>
      </c>
      <c r="AG165" s="93" t="s">
        <v>110</v>
      </c>
    </row>
    <row r="166" spans="1:33" s="99" customFormat="1" ht="11.4" customHeight="1" x14ac:dyDescent="0.3">
      <c r="A166" s="114" t="s">
        <v>221</v>
      </c>
      <c r="B166" s="43">
        <v>148</v>
      </c>
      <c r="C166" s="94">
        <v>16642</v>
      </c>
      <c r="D166" s="44">
        <v>2024</v>
      </c>
      <c r="E166" s="44" t="s">
        <v>222</v>
      </c>
      <c r="F166" s="45" t="s">
        <v>223</v>
      </c>
      <c r="G166" s="46">
        <v>45558</v>
      </c>
      <c r="H166" s="46">
        <v>46575</v>
      </c>
      <c r="I166" s="47" t="s">
        <v>160</v>
      </c>
      <c r="J166" s="115">
        <v>73168</v>
      </c>
      <c r="K166" s="96" t="s">
        <v>542</v>
      </c>
      <c r="L166" s="8" t="s">
        <v>70</v>
      </c>
      <c r="M166" s="4" t="s">
        <v>225</v>
      </c>
      <c r="N166" s="45" t="s">
        <v>226</v>
      </c>
      <c r="O166" s="49" t="s">
        <v>42</v>
      </c>
      <c r="P166" s="49" t="s">
        <v>42</v>
      </c>
      <c r="Q166" s="49" t="s">
        <v>170</v>
      </c>
      <c r="R166" s="117" t="s">
        <v>350</v>
      </c>
      <c r="S166" s="51">
        <v>0.81</v>
      </c>
      <c r="T166" s="51"/>
      <c r="U166" s="52">
        <v>3523729259.0599999</v>
      </c>
      <c r="V166" s="52"/>
      <c r="W166" s="53">
        <f>PROYECTOS_DIH[[#This Row],[VALOR DESEMBOLSOS PROYECTO]]/PROYECTOS_DIH[[#This Row],[Valor Proyecto Inicial.]]</f>
        <v>0.63965919529279613</v>
      </c>
      <c r="X166" s="54">
        <v>2253985822.2800002</v>
      </c>
      <c r="Y166" s="54" t="s">
        <v>1169</v>
      </c>
      <c r="Z166" s="55">
        <v>10000</v>
      </c>
      <c r="AA166" s="122" t="s">
        <v>536</v>
      </c>
      <c r="AB166" s="5" t="s">
        <v>1146</v>
      </c>
      <c r="AC166" s="56" t="s">
        <v>47</v>
      </c>
      <c r="AD166" s="59">
        <v>3.7230683760000001</v>
      </c>
      <c r="AE166" s="59">
        <v>-75.480743050000001</v>
      </c>
      <c r="AF166" s="5" t="s">
        <v>163</v>
      </c>
      <c r="AG166" s="81" t="s">
        <v>80</v>
      </c>
    </row>
    <row r="167" spans="1:33" s="99" customFormat="1" ht="11.4" customHeight="1" x14ac:dyDescent="0.3">
      <c r="A167" s="114" t="s">
        <v>221</v>
      </c>
      <c r="B167" s="43">
        <v>122</v>
      </c>
      <c r="C167" s="94">
        <v>16643</v>
      </c>
      <c r="D167" s="44">
        <v>2024</v>
      </c>
      <c r="E167" s="44" t="s">
        <v>222</v>
      </c>
      <c r="F167" s="45" t="s">
        <v>223</v>
      </c>
      <c r="G167" s="46">
        <v>45558</v>
      </c>
      <c r="H167" s="46">
        <v>46575</v>
      </c>
      <c r="I167" s="47" t="s">
        <v>37</v>
      </c>
      <c r="J167" s="48">
        <v>27150</v>
      </c>
      <c r="K167" s="96" t="s">
        <v>491</v>
      </c>
      <c r="L167" s="8" t="s">
        <v>70</v>
      </c>
      <c r="M167" s="4" t="s">
        <v>225</v>
      </c>
      <c r="N167" s="45" t="s">
        <v>226</v>
      </c>
      <c r="O167" s="45" t="s">
        <v>42</v>
      </c>
      <c r="P167" s="45"/>
      <c r="Q167" s="49" t="s">
        <v>120</v>
      </c>
      <c r="R167" s="117" t="s">
        <v>492</v>
      </c>
      <c r="S167" s="51">
        <v>0</v>
      </c>
      <c r="T167" s="51"/>
      <c r="U167" s="118">
        <v>4200000000</v>
      </c>
      <c r="V167" s="118"/>
      <c r="W167" s="53">
        <f>PROYECTOS_DIH[[#This Row],[VALOR DESEMBOLSOS PROYECTO]]/PROYECTOS_DIH[[#This Row],[Valor Proyecto Inicial.]]</f>
        <v>0</v>
      </c>
      <c r="X167" s="54">
        <v>0</v>
      </c>
      <c r="Y167" s="54" t="s">
        <v>1169</v>
      </c>
      <c r="Z167" s="55">
        <v>16400</v>
      </c>
      <c r="AA167" s="122" t="s">
        <v>493</v>
      </c>
      <c r="AB167" s="5" t="s">
        <v>1141</v>
      </c>
      <c r="AC167" s="56" t="s">
        <v>47</v>
      </c>
      <c r="AD167" s="59">
        <v>7.1584029659999997</v>
      </c>
      <c r="AE167" s="59">
        <v>-76.970716969999998</v>
      </c>
      <c r="AF167" s="5" t="s">
        <v>48</v>
      </c>
      <c r="AG167" s="60" t="s">
        <v>49</v>
      </c>
    </row>
    <row r="168" spans="1:33" s="99" customFormat="1" ht="11.4" customHeight="1" x14ac:dyDescent="0.3">
      <c r="A168" s="114" t="s">
        <v>221</v>
      </c>
      <c r="B168" s="43">
        <v>149</v>
      </c>
      <c r="C168" s="94">
        <v>16644</v>
      </c>
      <c r="D168" s="44">
        <v>2024</v>
      </c>
      <c r="E168" s="44" t="s">
        <v>222</v>
      </c>
      <c r="F168" s="45" t="s">
        <v>223</v>
      </c>
      <c r="G168" s="46">
        <v>45558</v>
      </c>
      <c r="H168" s="46">
        <v>46575</v>
      </c>
      <c r="I168" s="45" t="s">
        <v>141</v>
      </c>
      <c r="J168" s="98">
        <v>23466</v>
      </c>
      <c r="K168" s="127" t="s">
        <v>543</v>
      </c>
      <c r="L168" s="8" t="s">
        <v>70</v>
      </c>
      <c r="M168" s="4" t="s">
        <v>225</v>
      </c>
      <c r="N168" s="45" t="s">
        <v>226</v>
      </c>
      <c r="O168" s="49" t="s">
        <v>42</v>
      </c>
      <c r="P168" s="49"/>
      <c r="Q168" s="49" t="s">
        <v>78</v>
      </c>
      <c r="R168" s="117" t="s">
        <v>346</v>
      </c>
      <c r="S168" s="51">
        <v>1</v>
      </c>
      <c r="T168" s="51"/>
      <c r="U168" s="52">
        <v>4723381646.5</v>
      </c>
      <c r="V168" s="52"/>
      <c r="W168" s="53">
        <f>PROYECTOS_DIH[[#This Row],[VALOR DESEMBOLSOS PROYECTO]]/PROYECTOS_DIH[[#This Row],[Valor Proyecto Inicial.]]</f>
        <v>0.98934353288870958</v>
      </c>
      <c r="X168" s="10">
        <v>4673047085.3299999</v>
      </c>
      <c r="Y168" s="54" t="s">
        <v>1169</v>
      </c>
      <c r="Z168" s="55">
        <v>10000</v>
      </c>
      <c r="AA168" s="57" t="s">
        <v>544</v>
      </c>
      <c r="AB168" s="5" t="s">
        <v>1142</v>
      </c>
      <c r="AC168" s="56" t="s">
        <v>47</v>
      </c>
      <c r="AD168" s="59">
        <v>7.9737772439999999</v>
      </c>
      <c r="AE168" s="59">
        <v>-75.416818129999996</v>
      </c>
      <c r="AF168" s="5" t="s">
        <v>145</v>
      </c>
      <c r="AG168" s="71" t="s">
        <v>64</v>
      </c>
    </row>
    <row r="169" spans="1:33" s="99" customFormat="1" ht="11.4" customHeight="1" x14ac:dyDescent="0.3">
      <c r="A169" s="114" t="s">
        <v>221</v>
      </c>
      <c r="B169" s="43">
        <v>150</v>
      </c>
      <c r="C169" s="94">
        <v>16645</v>
      </c>
      <c r="D169" s="44">
        <v>2024</v>
      </c>
      <c r="E169" s="44" t="s">
        <v>222</v>
      </c>
      <c r="F169" s="45" t="s">
        <v>223</v>
      </c>
      <c r="G169" s="46">
        <v>45558</v>
      </c>
      <c r="H169" s="46">
        <v>46575</v>
      </c>
      <c r="I169" s="8" t="s">
        <v>53</v>
      </c>
      <c r="J169" s="139">
        <v>8001</v>
      </c>
      <c r="K169" s="127" t="s">
        <v>545</v>
      </c>
      <c r="L169" s="8" t="s">
        <v>70</v>
      </c>
      <c r="M169" s="4" t="s">
        <v>225</v>
      </c>
      <c r="N169" s="45" t="s">
        <v>226</v>
      </c>
      <c r="O169" s="45" t="s">
        <v>42</v>
      </c>
      <c r="P169" s="49" t="s">
        <v>42</v>
      </c>
      <c r="Q169" s="49" t="s">
        <v>170</v>
      </c>
      <c r="R169" s="117" t="s">
        <v>350</v>
      </c>
      <c r="S169" s="51">
        <v>0.71140000000000003</v>
      </c>
      <c r="T169" s="51"/>
      <c r="U169" s="52">
        <v>3330918108.4000001</v>
      </c>
      <c r="V169" s="52"/>
      <c r="W169" s="53">
        <f>PROYECTOS_DIH[[#This Row],[VALOR DESEMBOLSOS PROYECTO]]/PROYECTOS_DIH[[#This Row],[Valor Proyecto Inicial.]]</f>
        <v>0.37760886268806348</v>
      </c>
      <c r="X169" s="54">
        <v>1257784198.6199999</v>
      </c>
      <c r="Y169" s="54" t="s">
        <v>1169</v>
      </c>
      <c r="Z169" s="55">
        <v>10000</v>
      </c>
      <c r="AA169" s="122" t="s">
        <v>487</v>
      </c>
      <c r="AB169" s="5" t="s">
        <v>1134</v>
      </c>
      <c r="AC169" s="56" t="s">
        <v>62</v>
      </c>
      <c r="AD169" s="59">
        <v>10.97592682</v>
      </c>
      <c r="AE169" s="59">
        <v>-74.795259049999999</v>
      </c>
      <c r="AF169" s="5" t="s">
        <v>63</v>
      </c>
      <c r="AG169" s="71" t="s">
        <v>64</v>
      </c>
    </row>
    <row r="170" spans="1:33" s="99" customFormat="1" ht="11.4" customHeight="1" x14ac:dyDescent="0.3">
      <c r="A170" s="114" t="s">
        <v>221</v>
      </c>
      <c r="B170" s="43">
        <v>152</v>
      </c>
      <c r="C170" s="94">
        <v>16646</v>
      </c>
      <c r="D170" s="44">
        <v>2024</v>
      </c>
      <c r="E170" s="44" t="s">
        <v>222</v>
      </c>
      <c r="F170" s="45" t="s">
        <v>223</v>
      </c>
      <c r="G170" s="46">
        <v>45558</v>
      </c>
      <c r="H170" s="46">
        <v>46575</v>
      </c>
      <c r="I170" s="47" t="s">
        <v>88</v>
      </c>
      <c r="J170" s="48">
        <v>52473</v>
      </c>
      <c r="K170" s="127" t="s">
        <v>548</v>
      </c>
      <c r="L170" s="8" t="s">
        <v>70</v>
      </c>
      <c r="M170" s="4" t="s">
        <v>225</v>
      </c>
      <c r="N170" s="45" t="s">
        <v>226</v>
      </c>
      <c r="O170" s="49" t="s">
        <v>42</v>
      </c>
      <c r="P170" s="49" t="s">
        <v>42</v>
      </c>
      <c r="Q170" s="49" t="s">
        <v>170</v>
      </c>
      <c r="R170" s="117" t="s">
        <v>350</v>
      </c>
      <c r="S170" s="51">
        <v>0.26879999999999998</v>
      </c>
      <c r="T170" s="51"/>
      <c r="U170" s="52">
        <v>7184809459.04</v>
      </c>
      <c r="V170" s="52"/>
      <c r="W170" s="53">
        <f>PROYECTOS_DIH[[#This Row],[VALOR DESEMBOLSOS PROYECTO]]/PROYECTOS_DIH[[#This Row],[Valor Proyecto Inicial.]]</f>
        <v>3.2956254226349101E-3</v>
      </c>
      <c r="X170" s="54">
        <v>23678440.710000001</v>
      </c>
      <c r="Y170" s="54" t="s">
        <v>1169</v>
      </c>
      <c r="Z170" s="55">
        <v>5059</v>
      </c>
      <c r="AA170" s="122" t="s">
        <v>549</v>
      </c>
      <c r="AB170" s="5" t="s">
        <v>1145</v>
      </c>
      <c r="AC170" s="56" t="s">
        <v>47</v>
      </c>
      <c r="AD170" s="59">
        <v>2.507116414</v>
      </c>
      <c r="AE170" s="59">
        <v>-78.452985409999997</v>
      </c>
      <c r="AF170" s="5" t="s">
        <v>91</v>
      </c>
      <c r="AG170" s="77" t="s">
        <v>75</v>
      </c>
    </row>
    <row r="171" spans="1:33" s="99" customFormat="1" ht="11.4" customHeight="1" x14ac:dyDescent="0.3">
      <c r="A171" s="114" t="s">
        <v>221</v>
      </c>
      <c r="B171" s="43">
        <v>155</v>
      </c>
      <c r="C171" s="94">
        <v>16648</v>
      </c>
      <c r="D171" s="44">
        <v>2024</v>
      </c>
      <c r="E171" s="44" t="s">
        <v>222</v>
      </c>
      <c r="F171" s="45" t="s">
        <v>223</v>
      </c>
      <c r="G171" s="46">
        <v>45558</v>
      </c>
      <c r="H171" s="46">
        <v>46575</v>
      </c>
      <c r="I171" s="4" t="s">
        <v>201</v>
      </c>
      <c r="J171" s="63">
        <v>13670</v>
      </c>
      <c r="K171" s="127" t="s">
        <v>556</v>
      </c>
      <c r="L171" s="8" t="s">
        <v>70</v>
      </c>
      <c r="M171" s="4" t="s">
        <v>225</v>
      </c>
      <c r="N171" s="45" t="s">
        <v>226</v>
      </c>
      <c r="O171" s="49" t="s">
        <v>42</v>
      </c>
      <c r="P171" s="49"/>
      <c r="Q171" s="49" t="s">
        <v>59</v>
      </c>
      <c r="R171" s="117" t="s">
        <v>337</v>
      </c>
      <c r="S171" s="51">
        <v>1</v>
      </c>
      <c r="T171" s="51"/>
      <c r="U171" s="52">
        <v>5189995780.0299997</v>
      </c>
      <c r="V171" s="52"/>
      <c r="W171" s="53">
        <f>PROYECTOS_DIH[[#This Row],[VALOR DESEMBOLSOS PROYECTO]]/PROYECTOS_DIH[[#This Row],[Valor Proyecto Inicial.]]</f>
        <v>0.8528729652771343</v>
      </c>
      <c r="X171" s="10">
        <v>4426407090.6899996</v>
      </c>
      <c r="Y171" s="54" t="s">
        <v>1169</v>
      </c>
      <c r="Z171" s="55">
        <v>10000</v>
      </c>
      <c r="AA171" s="122" t="s">
        <v>557</v>
      </c>
      <c r="AB171" s="5" t="s">
        <v>1140</v>
      </c>
      <c r="AC171" s="56" t="s">
        <v>47</v>
      </c>
      <c r="AD171" s="59">
        <v>7.4767206719999999</v>
      </c>
      <c r="AE171" s="59">
        <v>-73.924168550000005</v>
      </c>
      <c r="AF171" s="5" t="s">
        <v>339</v>
      </c>
      <c r="AG171" s="93" t="s">
        <v>110</v>
      </c>
    </row>
    <row r="172" spans="1:33" s="99" customFormat="1" ht="11.4" customHeight="1" x14ac:dyDescent="0.3">
      <c r="A172" s="114" t="s">
        <v>221</v>
      </c>
      <c r="B172" s="43">
        <v>156</v>
      </c>
      <c r="C172" s="94">
        <v>16649</v>
      </c>
      <c r="D172" s="44">
        <v>2024</v>
      </c>
      <c r="E172" s="44" t="s">
        <v>222</v>
      </c>
      <c r="F172" s="45" t="s">
        <v>223</v>
      </c>
      <c r="G172" s="46">
        <v>45558</v>
      </c>
      <c r="H172" s="46">
        <v>46575</v>
      </c>
      <c r="I172" s="47" t="s">
        <v>88</v>
      </c>
      <c r="J172" s="48">
        <v>52520</v>
      </c>
      <c r="K172" s="127" t="s">
        <v>558</v>
      </c>
      <c r="L172" s="8" t="s">
        <v>70</v>
      </c>
      <c r="M172" s="4" t="s">
        <v>225</v>
      </c>
      <c r="N172" s="45" t="s">
        <v>226</v>
      </c>
      <c r="O172" s="45" t="s">
        <v>42</v>
      </c>
      <c r="P172" s="49" t="s">
        <v>42</v>
      </c>
      <c r="Q172" s="49" t="s">
        <v>170</v>
      </c>
      <c r="R172" s="117" t="s">
        <v>350</v>
      </c>
      <c r="S172" s="51">
        <v>0.16</v>
      </c>
      <c r="T172" s="51"/>
      <c r="U172" s="52">
        <v>6752253426.9499998</v>
      </c>
      <c r="V172" s="52"/>
      <c r="W172" s="53">
        <f>PROYECTOS_DIH[[#This Row],[VALOR DESEMBOLSOS PROYECTO]]/PROYECTOS_DIH[[#This Row],[Valor Proyecto Inicial.]]</f>
        <v>3.5067464463779136E-3</v>
      </c>
      <c r="X172" s="54">
        <v>23678440.710000001</v>
      </c>
      <c r="Y172" s="54" t="s">
        <v>1169</v>
      </c>
      <c r="Z172" s="55">
        <v>16400</v>
      </c>
      <c r="AA172" s="122" t="s">
        <v>559</v>
      </c>
      <c r="AB172" s="5" t="s">
        <v>1145</v>
      </c>
      <c r="AC172" s="56" t="s">
        <v>47</v>
      </c>
      <c r="AD172" s="59">
        <v>2.0408090560000001</v>
      </c>
      <c r="AE172" s="59">
        <v>-78.658181870000007</v>
      </c>
      <c r="AF172" s="5" t="s">
        <v>91</v>
      </c>
      <c r="AG172" s="77" t="s">
        <v>75</v>
      </c>
    </row>
    <row r="173" spans="1:33" s="99" customFormat="1" ht="11.4" customHeight="1" x14ac:dyDescent="0.3">
      <c r="A173" s="114" t="s">
        <v>221</v>
      </c>
      <c r="B173" s="43">
        <v>167</v>
      </c>
      <c r="C173" s="94">
        <v>16650</v>
      </c>
      <c r="D173" s="44">
        <v>2024</v>
      </c>
      <c r="E173" s="44" t="s">
        <v>222</v>
      </c>
      <c r="F173" s="45" t="s">
        <v>223</v>
      </c>
      <c r="G173" s="46">
        <v>45558</v>
      </c>
      <c r="H173" s="46">
        <v>46575</v>
      </c>
      <c r="I173" s="47" t="s">
        <v>37</v>
      </c>
      <c r="J173" s="48">
        <v>27250</v>
      </c>
      <c r="K173" s="96" t="s">
        <v>580</v>
      </c>
      <c r="L173" s="8" t="s">
        <v>70</v>
      </c>
      <c r="M173" s="4" t="s">
        <v>225</v>
      </c>
      <c r="N173" s="45" t="s">
        <v>226</v>
      </c>
      <c r="O173" s="45" t="s">
        <v>42</v>
      </c>
      <c r="P173" s="45"/>
      <c r="Q173" s="49" t="s">
        <v>120</v>
      </c>
      <c r="R173" s="117" t="s">
        <v>492</v>
      </c>
      <c r="S173" s="51">
        <v>0</v>
      </c>
      <c r="T173" s="51"/>
      <c r="U173" s="118">
        <v>3577735360</v>
      </c>
      <c r="V173" s="118"/>
      <c r="W173" s="53">
        <f>PROYECTOS_DIH[[#This Row],[VALOR DESEMBOLSOS PROYECTO]]/PROYECTOS_DIH[[#This Row],[Valor Proyecto Inicial.]]</f>
        <v>0</v>
      </c>
      <c r="X173" s="54">
        <v>0</v>
      </c>
      <c r="Y173" s="54" t="s">
        <v>1169</v>
      </c>
      <c r="Z173" s="55">
        <v>16400</v>
      </c>
      <c r="AA173" s="122" t="s">
        <v>493</v>
      </c>
      <c r="AB173" s="5" t="s">
        <v>1166</v>
      </c>
      <c r="AC173" s="56" t="s">
        <v>47</v>
      </c>
      <c r="AD173" s="59">
        <v>4.2567667059999996</v>
      </c>
      <c r="AE173" s="59">
        <v>-77.359837839999997</v>
      </c>
      <c r="AF173" s="5" t="s">
        <v>581</v>
      </c>
      <c r="AG173" s="77" t="s">
        <v>75</v>
      </c>
    </row>
    <row r="174" spans="1:33" s="99" customFormat="1" ht="11.4" customHeight="1" x14ac:dyDescent="0.3">
      <c r="A174" s="114" t="s">
        <v>221</v>
      </c>
      <c r="B174" s="43">
        <v>217</v>
      </c>
      <c r="C174" s="94">
        <v>16651</v>
      </c>
      <c r="D174" s="44">
        <v>2024</v>
      </c>
      <c r="E174" s="44" t="s">
        <v>222</v>
      </c>
      <c r="F174" s="45" t="s">
        <v>223</v>
      </c>
      <c r="G174" s="46">
        <v>45558</v>
      </c>
      <c r="H174" s="46">
        <v>46575</v>
      </c>
      <c r="I174" s="47" t="s">
        <v>323</v>
      </c>
      <c r="J174" s="48">
        <v>18460</v>
      </c>
      <c r="K174" s="96" t="s">
        <v>716</v>
      </c>
      <c r="L174" s="8" t="s">
        <v>70</v>
      </c>
      <c r="M174" s="4" t="s">
        <v>225</v>
      </c>
      <c r="N174" s="45" t="s">
        <v>226</v>
      </c>
      <c r="O174" s="49" t="s">
        <v>42</v>
      </c>
      <c r="P174" s="49"/>
      <c r="Q174" s="49" t="s">
        <v>120</v>
      </c>
      <c r="R174" s="117" t="s">
        <v>384</v>
      </c>
      <c r="S174" s="51">
        <v>0</v>
      </c>
      <c r="T174" s="51"/>
      <c r="U174" s="52">
        <v>3300000000</v>
      </c>
      <c r="V174" s="52"/>
      <c r="W174" s="53">
        <f>PROYECTOS_DIH[[#This Row],[VALOR DESEMBOLSOS PROYECTO]]/PROYECTOS_DIH[[#This Row],[Valor Proyecto Inicial.]]</f>
        <v>0</v>
      </c>
      <c r="X174" s="54">
        <v>0</v>
      </c>
      <c r="Y174" s="54" t="s">
        <v>1169</v>
      </c>
      <c r="Z174" s="55">
        <v>16400</v>
      </c>
      <c r="AA174" s="57" t="s">
        <v>385</v>
      </c>
      <c r="AB174" s="5" t="s">
        <v>1165</v>
      </c>
      <c r="AC174" s="56" t="s">
        <v>47</v>
      </c>
      <c r="AD174" s="59">
        <v>1.2904272020000001</v>
      </c>
      <c r="AE174" s="59">
        <v>-75.506962029999997</v>
      </c>
      <c r="AF174" s="5" t="s">
        <v>326</v>
      </c>
      <c r="AG174" s="81" t="s">
        <v>80</v>
      </c>
    </row>
    <row r="175" spans="1:33" s="99" customFormat="1" ht="11.4" customHeight="1" x14ac:dyDescent="0.3">
      <c r="A175" s="114" t="s">
        <v>221</v>
      </c>
      <c r="B175" s="43">
        <v>157</v>
      </c>
      <c r="C175" s="94">
        <v>16652</v>
      </c>
      <c r="D175" s="44">
        <v>2024</v>
      </c>
      <c r="E175" s="44" t="s">
        <v>222</v>
      </c>
      <c r="F175" s="45" t="s">
        <v>223</v>
      </c>
      <c r="G175" s="46">
        <v>45558</v>
      </c>
      <c r="H175" s="46">
        <v>46575</v>
      </c>
      <c r="I175" s="47" t="s">
        <v>323</v>
      </c>
      <c r="J175" s="48">
        <v>18410</v>
      </c>
      <c r="K175" s="96" t="s">
        <v>560</v>
      </c>
      <c r="L175" s="8" t="s">
        <v>70</v>
      </c>
      <c r="M175" s="4" t="s">
        <v>225</v>
      </c>
      <c r="N175" s="45" t="s">
        <v>226</v>
      </c>
      <c r="O175" s="49" t="s">
        <v>42</v>
      </c>
      <c r="P175" s="49"/>
      <c r="Q175" s="49" t="s">
        <v>44</v>
      </c>
      <c r="R175" s="117" t="s">
        <v>367</v>
      </c>
      <c r="S175" s="51">
        <v>0</v>
      </c>
      <c r="T175" s="51"/>
      <c r="U175" s="52">
        <v>3529200000</v>
      </c>
      <c r="V175" s="52"/>
      <c r="W175" s="53">
        <f>PROYECTOS_DIH[[#This Row],[VALOR DESEMBOLSOS PROYECTO]]/PROYECTOS_DIH[[#This Row],[Valor Proyecto Inicial.]]</f>
        <v>0</v>
      </c>
      <c r="X175" s="54">
        <v>0</v>
      </c>
      <c r="Y175" s="54" t="s">
        <v>1169</v>
      </c>
      <c r="Z175" s="55">
        <v>16400</v>
      </c>
      <c r="AA175" s="57" t="s">
        <v>368</v>
      </c>
      <c r="AB175" s="5" t="s">
        <v>1165</v>
      </c>
      <c r="AC175" s="56" t="s">
        <v>47</v>
      </c>
      <c r="AD175" s="59">
        <v>1.4791726350000001</v>
      </c>
      <c r="AE175" s="59">
        <v>-75.436407759999994</v>
      </c>
      <c r="AF175" s="5" t="s">
        <v>326</v>
      </c>
      <c r="AG175" s="81" t="s">
        <v>80</v>
      </c>
    </row>
    <row r="176" spans="1:33" s="99" customFormat="1" ht="11.4" customHeight="1" x14ac:dyDescent="0.3">
      <c r="A176" s="114" t="s">
        <v>221</v>
      </c>
      <c r="B176" s="43">
        <v>158</v>
      </c>
      <c r="C176" s="94">
        <v>16653</v>
      </c>
      <c r="D176" s="44">
        <v>2024</v>
      </c>
      <c r="E176" s="44" t="s">
        <v>222</v>
      </c>
      <c r="F176" s="45" t="s">
        <v>223</v>
      </c>
      <c r="G176" s="46">
        <v>45558</v>
      </c>
      <c r="H176" s="46">
        <v>46575</v>
      </c>
      <c r="I176" s="47" t="s">
        <v>189</v>
      </c>
      <c r="J176" s="48">
        <v>5361</v>
      </c>
      <c r="K176" s="127" t="s">
        <v>561</v>
      </c>
      <c r="L176" s="8" t="s">
        <v>70</v>
      </c>
      <c r="M176" s="4" t="s">
        <v>225</v>
      </c>
      <c r="N176" s="45" t="s">
        <v>226</v>
      </c>
      <c r="O176" s="45" t="s">
        <v>42</v>
      </c>
      <c r="P176" s="49" t="s">
        <v>42</v>
      </c>
      <c r="Q176" s="49" t="s">
        <v>59</v>
      </c>
      <c r="R176" s="117" t="s">
        <v>337</v>
      </c>
      <c r="S176" s="51">
        <v>0.95</v>
      </c>
      <c r="T176" s="51"/>
      <c r="U176" s="128">
        <v>5187064607.3699999</v>
      </c>
      <c r="V176" s="128"/>
      <c r="W176" s="53">
        <f>PROYECTOS_DIH[[#This Row],[VALOR DESEMBOLSOS PROYECTO]]/PROYECTOS_DIH[[#This Row],[Valor Proyecto Inicial.]]</f>
        <v>0.74450627073797937</v>
      </c>
      <c r="X176" s="54">
        <v>3861802126.9099998</v>
      </c>
      <c r="Y176" s="54" t="s">
        <v>1169</v>
      </c>
      <c r="Z176" s="55">
        <v>6649</v>
      </c>
      <c r="AA176" s="122" t="s">
        <v>562</v>
      </c>
      <c r="AB176" s="5" t="s">
        <v>1149</v>
      </c>
      <c r="AC176" s="56" t="s">
        <v>47</v>
      </c>
      <c r="AD176" s="59">
        <v>7.1716290300000001</v>
      </c>
      <c r="AE176" s="59">
        <v>-75.764673169999995</v>
      </c>
      <c r="AF176" s="5" t="s">
        <v>191</v>
      </c>
      <c r="AG176" s="110" t="s">
        <v>49</v>
      </c>
    </row>
    <row r="177" spans="1:33" s="99" customFormat="1" ht="11.4" customHeight="1" x14ac:dyDescent="0.3">
      <c r="A177" s="114" t="s">
        <v>221</v>
      </c>
      <c r="B177" s="43">
        <v>159</v>
      </c>
      <c r="C177" s="94">
        <v>16654</v>
      </c>
      <c r="D177" s="44">
        <v>2024</v>
      </c>
      <c r="E177" s="44" t="s">
        <v>222</v>
      </c>
      <c r="F177" s="45" t="s">
        <v>223</v>
      </c>
      <c r="G177" s="46">
        <v>45558</v>
      </c>
      <c r="H177" s="46">
        <v>46575</v>
      </c>
      <c r="I177" s="47" t="s">
        <v>189</v>
      </c>
      <c r="J177" s="48">
        <v>5665</v>
      </c>
      <c r="K177" s="127" t="s">
        <v>563</v>
      </c>
      <c r="L177" s="8" t="s">
        <v>70</v>
      </c>
      <c r="M177" s="4" t="s">
        <v>225</v>
      </c>
      <c r="N177" s="45" t="s">
        <v>226</v>
      </c>
      <c r="O177" s="49" t="s">
        <v>42</v>
      </c>
      <c r="P177" s="49" t="s">
        <v>42</v>
      </c>
      <c r="Q177" s="49" t="s">
        <v>59</v>
      </c>
      <c r="R177" s="117" t="s">
        <v>337</v>
      </c>
      <c r="S177" s="51">
        <v>0.95</v>
      </c>
      <c r="T177" s="51"/>
      <c r="U177" s="128">
        <v>5240737352.9200001</v>
      </c>
      <c r="V177" s="128"/>
      <c r="W177" s="53">
        <f>PROYECTOS_DIH[[#This Row],[VALOR DESEMBOLSOS PROYECTO]]/PROYECTOS_DIH[[#This Row],[Valor Proyecto Inicial.]]</f>
        <v>0.81259931896552884</v>
      </c>
      <c r="X177" s="54">
        <v>4258619603.8600001</v>
      </c>
      <c r="Y177" s="54" t="s">
        <v>1169</v>
      </c>
      <c r="Z177" s="55">
        <v>10000</v>
      </c>
      <c r="AA177" s="57" t="s">
        <v>564</v>
      </c>
      <c r="AB177" s="5" t="s">
        <v>1141</v>
      </c>
      <c r="AC177" s="56" t="s">
        <v>47</v>
      </c>
      <c r="AD177" s="59">
        <v>8.2768866639999992</v>
      </c>
      <c r="AE177" s="59">
        <v>-76.380577889999998</v>
      </c>
      <c r="AF177" s="5" t="s">
        <v>48</v>
      </c>
      <c r="AG177" s="60" t="s">
        <v>49</v>
      </c>
    </row>
    <row r="178" spans="1:33" s="99" customFormat="1" ht="11.4" customHeight="1" x14ac:dyDescent="0.3">
      <c r="A178" s="114" t="s">
        <v>221</v>
      </c>
      <c r="B178" s="43">
        <v>132</v>
      </c>
      <c r="C178" s="94">
        <v>16655</v>
      </c>
      <c r="D178" s="44">
        <v>2024</v>
      </c>
      <c r="E178" s="44" t="s">
        <v>222</v>
      </c>
      <c r="F178" s="45" t="s">
        <v>223</v>
      </c>
      <c r="G178" s="46">
        <v>45558</v>
      </c>
      <c r="H178" s="46">
        <v>46575</v>
      </c>
      <c r="I178" s="47" t="s">
        <v>189</v>
      </c>
      <c r="J178" s="48">
        <v>5172</v>
      </c>
      <c r="K178" s="96" t="s">
        <v>512</v>
      </c>
      <c r="L178" s="8" t="s">
        <v>70</v>
      </c>
      <c r="M178" s="4" t="s">
        <v>225</v>
      </c>
      <c r="N178" s="45" t="s">
        <v>226</v>
      </c>
      <c r="O178" s="45" t="s">
        <v>42</v>
      </c>
      <c r="P178" s="45"/>
      <c r="Q178" s="45" t="s">
        <v>120</v>
      </c>
      <c r="R178" s="50" t="s">
        <v>227</v>
      </c>
      <c r="S178" s="51">
        <v>0</v>
      </c>
      <c r="T178" s="51"/>
      <c r="U178" s="116"/>
      <c r="V178" s="116"/>
      <c r="W178" s="53" t="e">
        <f>PROYECTOS_DIH[[#This Row],[VALOR DESEMBOLSOS PROYECTO]]/PROYECTOS_DIH[[#This Row],[Valor Proyecto Inicial.]]</f>
        <v>#DIV/0!</v>
      </c>
      <c r="X178" s="54">
        <v>0</v>
      </c>
      <c r="Y178" s="54" t="s">
        <v>1169</v>
      </c>
      <c r="Z178" s="55">
        <v>16400</v>
      </c>
      <c r="AA178" s="57" t="s">
        <v>513</v>
      </c>
      <c r="AB178" s="5" t="s">
        <v>1141</v>
      </c>
      <c r="AC178" s="56" t="s">
        <v>47</v>
      </c>
      <c r="AD178" s="59">
        <v>7.6663004389999996</v>
      </c>
      <c r="AE178" s="59">
        <v>-76.681216399999997</v>
      </c>
      <c r="AF178" s="5" t="s">
        <v>48</v>
      </c>
      <c r="AG178" s="60" t="s">
        <v>49</v>
      </c>
    </row>
    <row r="179" spans="1:33" s="99" customFormat="1" ht="11.4" customHeight="1" x14ac:dyDescent="0.3">
      <c r="A179" s="114" t="s">
        <v>221</v>
      </c>
      <c r="B179" s="43">
        <v>161</v>
      </c>
      <c r="C179" s="94">
        <v>16656</v>
      </c>
      <c r="D179" s="44">
        <v>2024</v>
      </c>
      <c r="E179" s="44" t="s">
        <v>222</v>
      </c>
      <c r="F179" s="45" t="s">
        <v>223</v>
      </c>
      <c r="G179" s="46">
        <v>45558</v>
      </c>
      <c r="H179" s="46">
        <v>46575</v>
      </c>
      <c r="I179" s="47" t="s">
        <v>268</v>
      </c>
      <c r="J179" s="48">
        <v>19001</v>
      </c>
      <c r="K179" s="127" t="s">
        <v>568</v>
      </c>
      <c r="L179" s="8" t="s">
        <v>70</v>
      </c>
      <c r="M179" s="4" t="s">
        <v>225</v>
      </c>
      <c r="N179" s="45" t="s">
        <v>226</v>
      </c>
      <c r="O179" s="45" t="s">
        <v>42</v>
      </c>
      <c r="P179" s="49" t="s">
        <v>42</v>
      </c>
      <c r="Q179" s="49" t="s">
        <v>170</v>
      </c>
      <c r="R179" s="117" t="s">
        <v>343</v>
      </c>
      <c r="S179" s="51">
        <v>0.46279999999999999</v>
      </c>
      <c r="T179" s="51"/>
      <c r="U179" s="52">
        <v>5590676318.9499998</v>
      </c>
      <c r="V179" s="52"/>
      <c r="W179" s="53">
        <f>PROYECTOS_DIH[[#This Row],[VALOR DESEMBOLSOS PROYECTO]]/PROYECTOS_DIH[[#This Row],[Valor Proyecto Inicial.]]</f>
        <v>0.33103386859777739</v>
      </c>
      <c r="X179" s="54">
        <v>1850703209.9400001</v>
      </c>
      <c r="Y179" s="54" t="s">
        <v>1169</v>
      </c>
      <c r="Z179" s="55">
        <v>10000</v>
      </c>
      <c r="AA179" s="57" t="s">
        <v>569</v>
      </c>
      <c r="AB179" s="5" t="s">
        <v>1138</v>
      </c>
      <c r="AC179" s="56" t="s">
        <v>62</v>
      </c>
      <c r="AD179" s="59">
        <v>2.4825033909999998</v>
      </c>
      <c r="AE179" s="59">
        <v>-76.574064680000006</v>
      </c>
      <c r="AF179" s="5" t="s">
        <v>272</v>
      </c>
      <c r="AG179" s="77" t="s">
        <v>75</v>
      </c>
    </row>
    <row r="180" spans="1:33" s="99" customFormat="1" ht="11.4" customHeight="1" x14ac:dyDescent="0.3">
      <c r="A180" s="114" t="s">
        <v>221</v>
      </c>
      <c r="B180" s="43">
        <v>162</v>
      </c>
      <c r="C180" s="94">
        <v>16657</v>
      </c>
      <c r="D180" s="44">
        <v>2024</v>
      </c>
      <c r="E180" s="44" t="s">
        <v>222</v>
      </c>
      <c r="F180" s="45" t="s">
        <v>223</v>
      </c>
      <c r="G180" s="46">
        <v>45558</v>
      </c>
      <c r="H180" s="46">
        <v>46575</v>
      </c>
      <c r="I180" s="47" t="s">
        <v>394</v>
      </c>
      <c r="J180" s="48">
        <v>70418</v>
      </c>
      <c r="K180" s="127" t="s">
        <v>570</v>
      </c>
      <c r="L180" s="8" t="s">
        <v>70</v>
      </c>
      <c r="M180" s="4" t="s">
        <v>225</v>
      </c>
      <c r="N180" s="45" t="s">
        <v>226</v>
      </c>
      <c r="O180" s="45" t="s">
        <v>42</v>
      </c>
      <c r="P180" s="49" t="s">
        <v>42</v>
      </c>
      <c r="Q180" s="49" t="s">
        <v>170</v>
      </c>
      <c r="R180" s="117" t="s">
        <v>350</v>
      </c>
      <c r="S180" s="67">
        <v>0.24310000000000001</v>
      </c>
      <c r="T180" s="51"/>
      <c r="U180" s="52">
        <v>3692171401.46</v>
      </c>
      <c r="V180" s="52"/>
      <c r="W180" s="53">
        <f>PROYECTOS_DIH[[#This Row],[VALOR DESEMBOLSOS PROYECTO]]/PROYECTOS_DIH[[#This Row],[Valor Proyecto Inicial.]]</f>
        <v>0.16536955210924403</v>
      </c>
      <c r="X180" s="54">
        <v>610572730.97000003</v>
      </c>
      <c r="Y180" s="54" t="s">
        <v>1169</v>
      </c>
      <c r="Z180" s="55">
        <v>10000</v>
      </c>
      <c r="AA180" s="122" t="s">
        <v>571</v>
      </c>
      <c r="AB180" s="5" t="s">
        <v>1133</v>
      </c>
      <c r="AC180" s="56" t="s">
        <v>47</v>
      </c>
      <c r="AD180" s="59">
        <v>9.3802284080000007</v>
      </c>
      <c r="AE180" s="59">
        <v>-75.268748889999998</v>
      </c>
      <c r="AF180" s="5" t="s">
        <v>397</v>
      </c>
      <c r="AG180" s="71" t="s">
        <v>64</v>
      </c>
    </row>
    <row r="181" spans="1:33" s="99" customFormat="1" ht="11.4" customHeight="1" x14ac:dyDescent="0.3">
      <c r="A181" s="114" t="s">
        <v>221</v>
      </c>
      <c r="B181" s="43">
        <v>164</v>
      </c>
      <c r="C181" s="94">
        <v>16658</v>
      </c>
      <c r="D181" s="44">
        <v>2024</v>
      </c>
      <c r="E181" s="44" t="s">
        <v>222</v>
      </c>
      <c r="F181" s="45" t="s">
        <v>223</v>
      </c>
      <c r="G181" s="46">
        <v>45558</v>
      </c>
      <c r="H181" s="46">
        <v>46575</v>
      </c>
      <c r="I181" s="47" t="s">
        <v>574</v>
      </c>
      <c r="J181" s="48">
        <v>99001</v>
      </c>
      <c r="K181" s="127" t="s">
        <v>575</v>
      </c>
      <c r="L181" s="8" t="s">
        <v>70</v>
      </c>
      <c r="M181" s="4" t="s">
        <v>225</v>
      </c>
      <c r="N181" s="45" t="s">
        <v>226</v>
      </c>
      <c r="O181" s="49" t="s">
        <v>42</v>
      </c>
      <c r="P181" s="49" t="s">
        <v>42</v>
      </c>
      <c r="Q181" s="49" t="s">
        <v>170</v>
      </c>
      <c r="R181" s="117" t="s">
        <v>419</v>
      </c>
      <c r="S181" s="51">
        <v>0.52</v>
      </c>
      <c r="T181" s="51"/>
      <c r="U181" s="52">
        <v>3622170024.8899999</v>
      </c>
      <c r="V181" s="52"/>
      <c r="W181" s="53">
        <f>PROYECTOS_DIH[[#This Row],[VALOR DESEMBOLSOS PROYECTO]]/PROYECTOS_DIH[[#This Row],[Valor Proyecto Inicial.]]</f>
        <v>0.32801986970947955</v>
      </c>
      <c r="X181" s="54">
        <v>1188143739.6300001</v>
      </c>
      <c r="Y181" s="54" t="s">
        <v>1169</v>
      </c>
      <c r="Z181" s="55">
        <v>10000</v>
      </c>
      <c r="AA181" s="122" t="s">
        <v>576</v>
      </c>
      <c r="AB181" s="5" t="s">
        <v>1159</v>
      </c>
      <c r="AC181" s="56" t="s">
        <v>62</v>
      </c>
      <c r="AD181" s="59">
        <v>6.1868641870000003</v>
      </c>
      <c r="AE181" s="59">
        <v>-67.486997000000002</v>
      </c>
      <c r="AF181" s="5" t="s">
        <v>577</v>
      </c>
      <c r="AG181" s="120" t="s">
        <v>353</v>
      </c>
    </row>
    <row r="182" spans="1:33" s="99" customFormat="1" ht="11.4" customHeight="1" x14ac:dyDescent="0.3">
      <c r="A182" s="114" t="s">
        <v>221</v>
      </c>
      <c r="B182" s="43">
        <v>165</v>
      </c>
      <c r="C182" s="94">
        <v>16659</v>
      </c>
      <c r="D182" s="44">
        <v>2024</v>
      </c>
      <c r="E182" s="44" t="s">
        <v>222</v>
      </c>
      <c r="F182" s="45" t="s">
        <v>223</v>
      </c>
      <c r="G182" s="46">
        <v>45558</v>
      </c>
      <c r="H182" s="46">
        <v>46575</v>
      </c>
      <c r="I182" s="47" t="s">
        <v>323</v>
      </c>
      <c r="J182" s="48">
        <v>18029</v>
      </c>
      <c r="K182" s="47" t="s">
        <v>112</v>
      </c>
      <c r="L182" s="8" t="s">
        <v>70</v>
      </c>
      <c r="M182" s="4" t="s">
        <v>225</v>
      </c>
      <c r="N182" s="45" t="s">
        <v>226</v>
      </c>
      <c r="O182" s="49" t="s">
        <v>42</v>
      </c>
      <c r="P182" s="49"/>
      <c r="Q182" s="49" t="s">
        <v>44</v>
      </c>
      <c r="R182" s="117" t="s">
        <v>367</v>
      </c>
      <c r="S182" s="51">
        <v>0</v>
      </c>
      <c r="T182" s="51"/>
      <c r="U182" s="52">
        <v>3529200000</v>
      </c>
      <c r="V182" s="52"/>
      <c r="W182" s="53">
        <f>PROYECTOS_DIH[[#This Row],[VALOR DESEMBOLSOS PROYECTO]]/PROYECTOS_DIH[[#This Row],[Valor Proyecto Inicial.]]</f>
        <v>0</v>
      </c>
      <c r="X182" s="54">
        <v>0</v>
      </c>
      <c r="Y182" s="54" t="s">
        <v>1169</v>
      </c>
      <c r="Z182" s="55">
        <v>16400</v>
      </c>
      <c r="AA182" s="57" t="s">
        <v>368</v>
      </c>
      <c r="AB182" s="5" t="s">
        <v>1165</v>
      </c>
      <c r="AC182" s="56" t="s">
        <v>47</v>
      </c>
      <c r="AD182" s="59">
        <v>1.3285220879999999</v>
      </c>
      <c r="AE182" s="59">
        <v>-75.878370540000006</v>
      </c>
      <c r="AF182" s="5" t="s">
        <v>326</v>
      </c>
      <c r="AG182" s="81" t="s">
        <v>80</v>
      </c>
    </row>
    <row r="183" spans="1:33" s="99" customFormat="1" ht="11.4" customHeight="1" x14ac:dyDescent="0.3">
      <c r="A183" s="114" t="s">
        <v>221</v>
      </c>
      <c r="B183" s="43">
        <v>166</v>
      </c>
      <c r="C183" s="94">
        <v>16660</v>
      </c>
      <c r="D183" s="44">
        <v>2024</v>
      </c>
      <c r="E183" s="44" t="s">
        <v>222</v>
      </c>
      <c r="F183" s="45" t="s">
        <v>223</v>
      </c>
      <c r="G183" s="46">
        <v>45558</v>
      </c>
      <c r="H183" s="46">
        <v>46575</v>
      </c>
      <c r="I183" s="47" t="s">
        <v>160</v>
      </c>
      <c r="J183" s="48">
        <v>73001</v>
      </c>
      <c r="K183" s="96" t="s">
        <v>578</v>
      </c>
      <c r="L183" s="8" t="s">
        <v>70</v>
      </c>
      <c r="M183" s="4" t="s">
        <v>225</v>
      </c>
      <c r="N183" s="45" t="s">
        <v>226</v>
      </c>
      <c r="O183" s="49" t="s">
        <v>42</v>
      </c>
      <c r="P183" s="49"/>
      <c r="Q183" s="49" t="s">
        <v>44</v>
      </c>
      <c r="R183" s="117" t="s">
        <v>379</v>
      </c>
      <c r="S183" s="51">
        <v>0</v>
      </c>
      <c r="T183" s="51"/>
      <c r="U183" s="52">
        <v>2957677716.6100001</v>
      </c>
      <c r="V183" s="52"/>
      <c r="W183" s="53">
        <f>PROYECTOS_DIH[[#This Row],[VALOR DESEMBOLSOS PROYECTO]]/PROYECTOS_DIH[[#This Row],[Valor Proyecto Inicial.]]</f>
        <v>7.6033940424636605E-3</v>
      </c>
      <c r="X183" s="54">
        <v>22488389.129999999</v>
      </c>
      <c r="Y183" s="54" t="s">
        <v>1169</v>
      </c>
      <c r="Z183" s="55">
        <v>10000</v>
      </c>
      <c r="AA183" s="122" t="s">
        <v>579</v>
      </c>
      <c r="AB183" s="5" t="s">
        <v>1146</v>
      </c>
      <c r="AC183" s="56" t="s">
        <v>62</v>
      </c>
      <c r="AD183" s="59">
        <v>4.4396089910000001</v>
      </c>
      <c r="AE183" s="59">
        <v>-75.193714779999993</v>
      </c>
      <c r="AF183" s="5" t="s">
        <v>163</v>
      </c>
      <c r="AG183" s="81" t="s">
        <v>80</v>
      </c>
    </row>
    <row r="184" spans="1:33" s="99" customFormat="1" ht="11.4" customHeight="1" x14ac:dyDescent="0.3">
      <c r="A184" s="114" t="s">
        <v>221</v>
      </c>
      <c r="B184" s="43">
        <v>168</v>
      </c>
      <c r="C184" s="94">
        <v>16661</v>
      </c>
      <c r="D184" s="44">
        <v>2024</v>
      </c>
      <c r="E184" s="44" t="s">
        <v>222</v>
      </c>
      <c r="F184" s="45" t="s">
        <v>223</v>
      </c>
      <c r="G184" s="46">
        <v>45558</v>
      </c>
      <c r="H184" s="46">
        <v>46575</v>
      </c>
      <c r="I184" s="47" t="s">
        <v>323</v>
      </c>
      <c r="J184" s="48">
        <v>18205</v>
      </c>
      <c r="K184" s="96" t="s">
        <v>584</v>
      </c>
      <c r="L184" s="8" t="s">
        <v>70</v>
      </c>
      <c r="M184" s="4" t="s">
        <v>225</v>
      </c>
      <c r="N184" s="45" t="s">
        <v>226</v>
      </c>
      <c r="O184" s="49" t="s">
        <v>42</v>
      </c>
      <c r="P184" s="49"/>
      <c r="Q184" s="49" t="s">
        <v>44</v>
      </c>
      <c r="R184" s="117" t="s">
        <v>367</v>
      </c>
      <c r="S184" s="51">
        <v>0</v>
      </c>
      <c r="T184" s="51"/>
      <c r="U184" s="52">
        <v>3529200000</v>
      </c>
      <c r="V184" s="52"/>
      <c r="W184" s="53">
        <f>PROYECTOS_DIH[[#This Row],[VALOR DESEMBOLSOS PROYECTO]]/PROYECTOS_DIH[[#This Row],[Valor Proyecto Inicial.]]</f>
        <v>0</v>
      </c>
      <c r="X184" s="54">
        <v>0</v>
      </c>
      <c r="Y184" s="54" t="s">
        <v>1169</v>
      </c>
      <c r="Z184" s="55">
        <v>16400</v>
      </c>
      <c r="AA184" s="57" t="s">
        <v>368</v>
      </c>
      <c r="AB184" s="5" t="s">
        <v>1165</v>
      </c>
      <c r="AC184" s="56" t="s">
        <v>47</v>
      </c>
      <c r="AD184" s="59">
        <v>1.033473748</v>
      </c>
      <c r="AE184" s="59">
        <v>-75.919204350000001</v>
      </c>
      <c r="AF184" s="5" t="s">
        <v>326</v>
      </c>
      <c r="AG184" s="81" t="s">
        <v>80</v>
      </c>
    </row>
    <row r="185" spans="1:33" s="99" customFormat="1" ht="11.4" customHeight="1" x14ac:dyDescent="0.3">
      <c r="A185" s="114" t="s">
        <v>221</v>
      </c>
      <c r="B185" s="43">
        <v>172</v>
      </c>
      <c r="C185" s="94">
        <v>16662</v>
      </c>
      <c r="D185" s="44">
        <v>2024</v>
      </c>
      <c r="E185" s="44" t="s">
        <v>222</v>
      </c>
      <c r="F185" s="45" t="s">
        <v>223</v>
      </c>
      <c r="G185" s="46">
        <v>45558</v>
      </c>
      <c r="H185" s="46">
        <v>46575</v>
      </c>
      <c r="I185" s="96" t="s">
        <v>593</v>
      </c>
      <c r="J185" s="115">
        <v>91001</v>
      </c>
      <c r="K185" s="96" t="s">
        <v>594</v>
      </c>
      <c r="L185" s="8" t="s">
        <v>70</v>
      </c>
      <c r="M185" s="4" t="s">
        <v>225</v>
      </c>
      <c r="N185" s="45" t="s">
        <v>226</v>
      </c>
      <c r="O185" s="45" t="s">
        <v>42</v>
      </c>
      <c r="P185" s="49" t="s">
        <v>42</v>
      </c>
      <c r="Q185" s="49" t="s">
        <v>170</v>
      </c>
      <c r="R185" s="117" t="s">
        <v>350</v>
      </c>
      <c r="S185" s="51">
        <v>0.09</v>
      </c>
      <c r="T185" s="51"/>
      <c r="U185" s="52">
        <v>4142855963.8200002</v>
      </c>
      <c r="V185" s="52"/>
      <c r="W185" s="53">
        <f>PROYECTOS_DIH[[#This Row],[VALOR DESEMBOLSOS PROYECTO]]/PROYECTOS_DIH[[#This Row],[Valor Proyecto Inicial.]]</f>
        <v>6.2822100085762958E-2</v>
      </c>
      <c r="X185" s="54">
        <v>260262912</v>
      </c>
      <c r="Y185" s="54" t="s">
        <v>1169</v>
      </c>
      <c r="Z185" s="55">
        <v>10000</v>
      </c>
      <c r="AA185" s="57" t="s">
        <v>595</v>
      </c>
      <c r="AB185" s="5" t="s">
        <v>1162</v>
      </c>
      <c r="AC185" s="56" t="s">
        <v>62</v>
      </c>
      <c r="AD185" s="59">
        <v>-4.1998369350000004</v>
      </c>
      <c r="AE185" s="59">
        <v>-69.941426710000002</v>
      </c>
      <c r="AF185" s="5" t="s">
        <v>596</v>
      </c>
      <c r="AG185" s="109" t="s">
        <v>188</v>
      </c>
    </row>
    <row r="186" spans="1:33" s="99" customFormat="1" ht="11.4" customHeight="1" x14ac:dyDescent="0.3">
      <c r="A186" s="114" t="s">
        <v>221</v>
      </c>
      <c r="B186" s="43">
        <v>163</v>
      </c>
      <c r="C186" s="94">
        <v>16663</v>
      </c>
      <c r="D186" s="44">
        <v>2024</v>
      </c>
      <c r="E186" s="44" t="s">
        <v>222</v>
      </c>
      <c r="F186" s="45" t="s">
        <v>223</v>
      </c>
      <c r="G186" s="46">
        <v>45558</v>
      </c>
      <c r="H186" s="46">
        <v>46575</v>
      </c>
      <c r="I186" s="47" t="s">
        <v>111</v>
      </c>
      <c r="J186" s="48">
        <v>44090</v>
      </c>
      <c r="K186" s="96" t="s">
        <v>572</v>
      </c>
      <c r="L186" s="8" t="s">
        <v>70</v>
      </c>
      <c r="M186" s="4" t="s">
        <v>225</v>
      </c>
      <c r="N186" s="45" t="s">
        <v>226</v>
      </c>
      <c r="O186" s="45" t="s">
        <v>42</v>
      </c>
      <c r="P186" s="45"/>
      <c r="Q186" s="49" t="s">
        <v>120</v>
      </c>
      <c r="R186" s="117" t="s">
        <v>492</v>
      </c>
      <c r="S186" s="51">
        <v>0</v>
      </c>
      <c r="T186" s="51"/>
      <c r="U186" s="118">
        <v>4142767130</v>
      </c>
      <c r="V186" s="118"/>
      <c r="W186" s="53">
        <f>PROYECTOS_DIH[[#This Row],[VALOR DESEMBOLSOS PROYECTO]]/PROYECTOS_DIH[[#This Row],[Valor Proyecto Inicial.]]</f>
        <v>0</v>
      </c>
      <c r="X186" s="54">
        <v>0</v>
      </c>
      <c r="Y186" s="54" t="s">
        <v>1169</v>
      </c>
      <c r="Z186" s="55">
        <v>16400</v>
      </c>
      <c r="AA186" s="122" t="s">
        <v>573</v>
      </c>
      <c r="AB186" s="5" t="s">
        <v>1144</v>
      </c>
      <c r="AC186" s="56" t="s">
        <v>47</v>
      </c>
      <c r="AD186" s="59">
        <v>11.271569400000001</v>
      </c>
      <c r="AE186" s="59">
        <v>-73.307619790000004</v>
      </c>
      <c r="AF186" s="5" t="s">
        <v>113</v>
      </c>
      <c r="AG186" s="71" t="s">
        <v>64</v>
      </c>
    </row>
    <row r="187" spans="1:33" s="99" customFormat="1" ht="11.4" customHeight="1" x14ac:dyDescent="0.3">
      <c r="A187" s="114" t="s">
        <v>221</v>
      </c>
      <c r="B187" s="43">
        <v>173</v>
      </c>
      <c r="C187" s="94">
        <v>16664</v>
      </c>
      <c r="D187" s="44">
        <v>2024</v>
      </c>
      <c r="E187" s="44" t="s">
        <v>222</v>
      </c>
      <c r="F187" s="45" t="s">
        <v>223</v>
      </c>
      <c r="G187" s="46">
        <v>45558</v>
      </c>
      <c r="H187" s="46">
        <v>46575</v>
      </c>
      <c r="I187" s="47" t="s">
        <v>394</v>
      </c>
      <c r="J187" s="48">
        <v>70713</v>
      </c>
      <c r="K187" s="127" t="s">
        <v>597</v>
      </c>
      <c r="L187" s="8" t="s">
        <v>70</v>
      </c>
      <c r="M187" s="4" t="s">
        <v>225</v>
      </c>
      <c r="N187" s="45" t="s">
        <v>226</v>
      </c>
      <c r="O187" s="45" t="s">
        <v>42</v>
      </c>
      <c r="P187" s="49" t="s">
        <v>42</v>
      </c>
      <c r="Q187" s="49" t="s">
        <v>170</v>
      </c>
      <c r="R187" s="117" t="s">
        <v>350</v>
      </c>
      <c r="S187" s="67">
        <v>0.25790000000000002</v>
      </c>
      <c r="T187" s="51"/>
      <c r="U187" s="52">
        <v>4558639052.9099998</v>
      </c>
      <c r="V187" s="52"/>
      <c r="W187" s="53">
        <f>PROYECTOS_DIH[[#This Row],[VALOR DESEMBOLSOS PROYECTO]]/PROYECTOS_DIH[[#This Row],[Valor Proyecto Inicial.]]</f>
        <v>0.19441374459867711</v>
      </c>
      <c r="X187" s="54">
        <v>886262088.54999995</v>
      </c>
      <c r="Y187" s="54" t="s">
        <v>1169</v>
      </c>
      <c r="Z187" s="55">
        <v>10000</v>
      </c>
      <c r="AA187" s="122" t="s">
        <v>598</v>
      </c>
      <c r="AB187" s="5" t="s">
        <v>1133</v>
      </c>
      <c r="AC187" s="56" t="s">
        <v>47</v>
      </c>
      <c r="AD187" s="59">
        <v>9.7369320140000006</v>
      </c>
      <c r="AE187" s="59">
        <v>-75.523030700000007</v>
      </c>
      <c r="AF187" s="5" t="s">
        <v>397</v>
      </c>
      <c r="AG187" s="71" t="s">
        <v>64</v>
      </c>
    </row>
    <row r="188" spans="1:33" s="99" customFormat="1" ht="11.4" customHeight="1" x14ac:dyDescent="0.3">
      <c r="A188" s="114" t="s">
        <v>221</v>
      </c>
      <c r="B188" s="43">
        <v>174</v>
      </c>
      <c r="C188" s="94">
        <v>16665</v>
      </c>
      <c r="D188" s="44">
        <v>2024</v>
      </c>
      <c r="E188" s="44" t="s">
        <v>222</v>
      </c>
      <c r="F188" s="45" t="s">
        <v>223</v>
      </c>
      <c r="G188" s="46">
        <v>45558</v>
      </c>
      <c r="H188" s="46">
        <v>46575</v>
      </c>
      <c r="I188" s="47" t="s">
        <v>386</v>
      </c>
      <c r="J188" s="48">
        <v>20400</v>
      </c>
      <c r="K188" s="127" t="s">
        <v>599</v>
      </c>
      <c r="L188" s="8" t="s">
        <v>70</v>
      </c>
      <c r="M188" s="4" t="s">
        <v>225</v>
      </c>
      <c r="N188" s="45" t="s">
        <v>226</v>
      </c>
      <c r="O188" s="45" t="s">
        <v>42</v>
      </c>
      <c r="P188" s="49" t="s">
        <v>42</v>
      </c>
      <c r="Q188" s="49" t="s">
        <v>170</v>
      </c>
      <c r="R188" s="117" t="s">
        <v>350</v>
      </c>
      <c r="S188" s="51">
        <v>0.1706</v>
      </c>
      <c r="T188" s="51"/>
      <c r="U188" s="52">
        <v>4194469392.9400001</v>
      </c>
      <c r="V188" s="52"/>
      <c r="W188" s="53">
        <f>PROYECTOS_DIH[[#This Row],[VALOR DESEMBOLSOS PROYECTO]]/PROYECTOS_DIH[[#This Row],[Valor Proyecto Inicial.]]</f>
        <v>5.8439160093188537E-2</v>
      </c>
      <c r="X188" s="54">
        <v>245121268.36000001</v>
      </c>
      <c r="Y188" s="54" t="s">
        <v>1169</v>
      </c>
      <c r="Z188" s="55">
        <v>10000</v>
      </c>
      <c r="AA188" s="122" t="s">
        <v>600</v>
      </c>
      <c r="AB188" s="5" t="s">
        <v>1143</v>
      </c>
      <c r="AC188" s="56" t="s">
        <v>47</v>
      </c>
      <c r="AD188" s="59">
        <v>9.5638872999999993</v>
      </c>
      <c r="AE188" s="59">
        <v>-73.334227909999996</v>
      </c>
      <c r="AF188" s="5" t="s">
        <v>389</v>
      </c>
      <c r="AG188" s="71" t="s">
        <v>64</v>
      </c>
    </row>
    <row r="189" spans="1:33" s="99" customFormat="1" ht="11.4" customHeight="1" x14ac:dyDescent="0.3">
      <c r="A189" s="114" t="s">
        <v>221</v>
      </c>
      <c r="B189" s="43">
        <v>347</v>
      </c>
      <c r="C189" s="94">
        <v>16666</v>
      </c>
      <c r="D189" s="44">
        <v>2024</v>
      </c>
      <c r="E189" s="44" t="s">
        <v>222</v>
      </c>
      <c r="F189" s="45" t="s">
        <v>223</v>
      </c>
      <c r="G189" s="46">
        <v>45558</v>
      </c>
      <c r="H189" s="46">
        <v>46575</v>
      </c>
      <c r="I189" s="47" t="s">
        <v>37</v>
      </c>
      <c r="J189" s="48">
        <v>27800</v>
      </c>
      <c r="K189" s="96" t="s">
        <v>130</v>
      </c>
      <c r="L189" s="8" t="s">
        <v>70</v>
      </c>
      <c r="M189" s="4" t="s">
        <v>225</v>
      </c>
      <c r="N189" s="45" t="s">
        <v>226</v>
      </c>
      <c r="O189" s="45" t="s">
        <v>42</v>
      </c>
      <c r="P189" s="45"/>
      <c r="Q189" s="49" t="s">
        <v>120</v>
      </c>
      <c r="R189" s="117" t="s">
        <v>492</v>
      </c>
      <c r="S189" s="51">
        <v>0</v>
      </c>
      <c r="T189" s="51"/>
      <c r="U189" s="52">
        <v>6817034162.8599997</v>
      </c>
      <c r="V189" s="52"/>
      <c r="W189" s="53">
        <f>PROYECTOS_DIH[[#This Row],[VALOR DESEMBOLSOS PROYECTO]]/PROYECTOS_DIH[[#This Row],[Valor Proyecto Inicial.]]</f>
        <v>0</v>
      </c>
      <c r="X189" s="54">
        <v>0</v>
      </c>
      <c r="Y189" s="54" t="s">
        <v>1169</v>
      </c>
      <c r="Z189" s="55">
        <v>16400</v>
      </c>
      <c r="AA189" s="122" t="s">
        <v>1073</v>
      </c>
      <c r="AB189" s="5" t="s">
        <v>1141</v>
      </c>
      <c r="AC189" s="56" t="s">
        <v>47</v>
      </c>
      <c r="AD189" s="59">
        <v>8.0427607820000002</v>
      </c>
      <c r="AE189" s="59">
        <v>-77.091753030000007</v>
      </c>
      <c r="AF189" s="5" t="s">
        <v>48</v>
      </c>
      <c r="AG189" s="60" t="s">
        <v>49</v>
      </c>
    </row>
    <row r="190" spans="1:33" s="99" customFormat="1" ht="11.4" customHeight="1" x14ac:dyDescent="0.3">
      <c r="A190" s="114" t="s">
        <v>221</v>
      </c>
      <c r="B190" s="43">
        <v>229</v>
      </c>
      <c r="C190" s="94">
        <v>16667</v>
      </c>
      <c r="D190" s="44">
        <v>2024</v>
      </c>
      <c r="E190" s="44" t="s">
        <v>222</v>
      </c>
      <c r="F190" s="45" t="s">
        <v>223</v>
      </c>
      <c r="G190" s="46">
        <v>45558</v>
      </c>
      <c r="H190" s="46">
        <v>46575</v>
      </c>
      <c r="I190" s="47" t="s">
        <v>189</v>
      </c>
      <c r="J190" s="48">
        <v>5475</v>
      </c>
      <c r="K190" s="96" t="s">
        <v>759</v>
      </c>
      <c r="L190" s="8" t="s">
        <v>70</v>
      </c>
      <c r="M190" s="4" t="s">
        <v>225</v>
      </c>
      <c r="N190" s="45" t="s">
        <v>226</v>
      </c>
      <c r="O190" s="49" t="s">
        <v>42</v>
      </c>
      <c r="P190" s="49"/>
      <c r="Q190" s="45" t="s">
        <v>120</v>
      </c>
      <c r="R190" s="50" t="s">
        <v>227</v>
      </c>
      <c r="S190" s="51">
        <v>0</v>
      </c>
      <c r="T190" s="51"/>
      <c r="U190" s="116"/>
      <c r="V190" s="116"/>
      <c r="W190" s="53" t="e">
        <f>PROYECTOS_DIH[[#This Row],[VALOR DESEMBOLSOS PROYECTO]]/PROYECTOS_DIH[[#This Row],[Valor Proyecto Inicial.]]</f>
        <v>#DIV/0!</v>
      </c>
      <c r="X190" s="54">
        <v>0</v>
      </c>
      <c r="Y190" s="54" t="s">
        <v>1169</v>
      </c>
      <c r="Z190" s="55">
        <v>16400</v>
      </c>
      <c r="AA190" s="57" t="s">
        <v>760</v>
      </c>
      <c r="AB190" s="5" t="s">
        <v>1141</v>
      </c>
      <c r="AC190" s="56" t="s">
        <v>47</v>
      </c>
      <c r="AD190" s="59">
        <v>6.9776918529999996</v>
      </c>
      <c r="AE190" s="59">
        <v>-76.817458060000007</v>
      </c>
      <c r="AF190" s="5" t="s">
        <v>48</v>
      </c>
      <c r="AG190" s="60" t="s">
        <v>49</v>
      </c>
    </row>
    <row r="191" spans="1:33" s="99" customFormat="1" ht="11.4" customHeight="1" x14ac:dyDescent="0.3">
      <c r="A191" s="114" t="s">
        <v>221</v>
      </c>
      <c r="B191" s="43">
        <v>72</v>
      </c>
      <c r="C191" s="94">
        <v>16668</v>
      </c>
      <c r="D191" s="44">
        <v>2024</v>
      </c>
      <c r="E191" s="44" t="s">
        <v>222</v>
      </c>
      <c r="F191" s="45" t="s">
        <v>223</v>
      </c>
      <c r="G191" s="46">
        <v>45558</v>
      </c>
      <c r="H191" s="46">
        <v>46575</v>
      </c>
      <c r="I191" s="47" t="s">
        <v>323</v>
      </c>
      <c r="J191" s="48">
        <v>18094</v>
      </c>
      <c r="K191" s="96" t="s">
        <v>324</v>
      </c>
      <c r="L191" s="8" t="s">
        <v>70</v>
      </c>
      <c r="M191" s="4" t="s">
        <v>225</v>
      </c>
      <c r="N191" s="45" t="s">
        <v>226</v>
      </c>
      <c r="O191" s="49" t="s">
        <v>42</v>
      </c>
      <c r="P191" s="49"/>
      <c r="Q191" s="45" t="s">
        <v>120</v>
      </c>
      <c r="R191" s="117" t="s">
        <v>384</v>
      </c>
      <c r="S191" s="51">
        <v>0</v>
      </c>
      <c r="T191" s="51"/>
      <c r="U191" s="118">
        <v>3300000000</v>
      </c>
      <c r="V191" s="118"/>
      <c r="W191" s="53">
        <f>PROYECTOS_DIH[[#This Row],[VALOR DESEMBOLSOS PROYECTO]]/PROYECTOS_DIH[[#This Row],[Valor Proyecto Inicial.]]</f>
        <v>0</v>
      </c>
      <c r="X191" s="54">
        <v>0</v>
      </c>
      <c r="Y191" s="54" t="s">
        <v>1169</v>
      </c>
      <c r="Z191" s="55">
        <v>16400</v>
      </c>
      <c r="AA191" s="57" t="s">
        <v>385</v>
      </c>
      <c r="AB191" s="5" t="s">
        <v>1165</v>
      </c>
      <c r="AC191" s="56" t="s">
        <v>47</v>
      </c>
      <c r="AD191" s="59">
        <v>1.415786446</v>
      </c>
      <c r="AE191" s="59">
        <v>-75.87247395</v>
      </c>
      <c r="AF191" s="5" t="s">
        <v>326</v>
      </c>
      <c r="AG191" s="81" t="s">
        <v>80</v>
      </c>
    </row>
    <row r="192" spans="1:33" s="99" customFormat="1" ht="11.4" customHeight="1" x14ac:dyDescent="0.3">
      <c r="A192" s="114" t="s">
        <v>221</v>
      </c>
      <c r="B192" s="43">
        <v>153</v>
      </c>
      <c r="C192" s="94">
        <v>16669</v>
      </c>
      <c r="D192" s="44">
        <v>2024</v>
      </c>
      <c r="E192" s="44" t="s">
        <v>222</v>
      </c>
      <c r="F192" s="45" t="s">
        <v>223</v>
      </c>
      <c r="G192" s="46">
        <v>45558</v>
      </c>
      <c r="H192" s="46">
        <v>46575</v>
      </c>
      <c r="I192" s="47" t="s">
        <v>268</v>
      </c>
      <c r="J192" s="48">
        <v>19212</v>
      </c>
      <c r="K192" s="96" t="s">
        <v>269</v>
      </c>
      <c r="L192" s="8" t="s">
        <v>70</v>
      </c>
      <c r="M192" s="4" t="s">
        <v>225</v>
      </c>
      <c r="N192" s="45" t="s">
        <v>226</v>
      </c>
      <c r="O192" s="49" t="s">
        <v>42</v>
      </c>
      <c r="P192" s="49"/>
      <c r="Q192" s="45" t="s">
        <v>120</v>
      </c>
      <c r="R192" s="50" t="s">
        <v>227</v>
      </c>
      <c r="S192" s="51">
        <v>0</v>
      </c>
      <c r="T192" s="51"/>
      <c r="U192" s="118"/>
      <c r="V192" s="118"/>
      <c r="W192" s="53" t="e">
        <f>PROYECTOS_DIH[[#This Row],[VALOR DESEMBOLSOS PROYECTO]]/PROYECTOS_DIH[[#This Row],[Valor Proyecto Inicial.]]</f>
        <v>#DIV/0!</v>
      </c>
      <c r="X192" s="54">
        <v>0</v>
      </c>
      <c r="Y192" s="54" t="s">
        <v>1169</v>
      </c>
      <c r="Z192" s="55">
        <v>16400</v>
      </c>
      <c r="AA192" s="57" t="s">
        <v>550</v>
      </c>
      <c r="AB192" s="5" t="s">
        <v>1138</v>
      </c>
      <c r="AC192" s="56" t="s">
        <v>47</v>
      </c>
      <c r="AD192" s="59">
        <v>3.1738154569999999</v>
      </c>
      <c r="AE192" s="59">
        <v>-76.261314189999993</v>
      </c>
      <c r="AF192" s="5" t="s">
        <v>272</v>
      </c>
      <c r="AG192" s="77" t="s">
        <v>75</v>
      </c>
    </row>
    <row r="193" spans="1:33" s="99" customFormat="1" ht="11.4" customHeight="1" x14ac:dyDescent="0.3">
      <c r="A193" s="114" t="s">
        <v>221</v>
      </c>
      <c r="B193" s="43">
        <v>175</v>
      </c>
      <c r="C193" s="94">
        <v>16670</v>
      </c>
      <c r="D193" s="44">
        <v>2024</v>
      </c>
      <c r="E193" s="44" t="s">
        <v>222</v>
      </c>
      <c r="F193" s="45" t="s">
        <v>223</v>
      </c>
      <c r="G193" s="46">
        <v>45558</v>
      </c>
      <c r="H193" s="46">
        <v>46575</v>
      </c>
      <c r="I193" s="47" t="s">
        <v>189</v>
      </c>
      <c r="J193" s="48">
        <v>5250</v>
      </c>
      <c r="K193" s="96" t="s">
        <v>601</v>
      </c>
      <c r="L193" s="8" t="s">
        <v>70</v>
      </c>
      <c r="M193" s="4" t="s">
        <v>225</v>
      </c>
      <c r="N193" s="45" t="s">
        <v>226</v>
      </c>
      <c r="O193" s="45" t="s">
        <v>42</v>
      </c>
      <c r="P193" s="49" t="s">
        <v>42</v>
      </c>
      <c r="Q193" s="49" t="s">
        <v>59</v>
      </c>
      <c r="R193" s="117" t="s">
        <v>337</v>
      </c>
      <c r="S193" s="51">
        <v>0.83299999999999996</v>
      </c>
      <c r="T193" s="51"/>
      <c r="U193" s="128">
        <v>5572291895.5500002</v>
      </c>
      <c r="V193" s="128"/>
      <c r="W193" s="53">
        <f>PROYECTOS_DIH[[#This Row],[VALOR DESEMBOLSOS PROYECTO]]/PROYECTOS_DIH[[#This Row],[Valor Proyecto Inicial.]]</f>
        <v>0.71781101713358897</v>
      </c>
      <c r="X193" s="54">
        <v>3999852513.3099999</v>
      </c>
      <c r="Y193" s="54" t="s">
        <v>1169</v>
      </c>
      <c r="Z193" s="55">
        <v>10000</v>
      </c>
      <c r="AA193" s="122" t="s">
        <v>602</v>
      </c>
      <c r="AB193" s="5" t="s">
        <v>1149</v>
      </c>
      <c r="AC193" s="56" t="s">
        <v>47</v>
      </c>
      <c r="AD193" s="59">
        <v>7.5975217940000004</v>
      </c>
      <c r="AE193" s="59">
        <v>-74.799097290000006</v>
      </c>
      <c r="AF193" s="5" t="s">
        <v>191</v>
      </c>
      <c r="AG193" s="110" t="s">
        <v>49</v>
      </c>
    </row>
    <row r="194" spans="1:33" s="99" customFormat="1" ht="11.4" customHeight="1" x14ac:dyDescent="0.3">
      <c r="A194" s="114" t="s">
        <v>221</v>
      </c>
      <c r="B194" s="43">
        <v>176</v>
      </c>
      <c r="C194" s="94">
        <v>16671</v>
      </c>
      <c r="D194" s="44">
        <v>2024</v>
      </c>
      <c r="E194" s="44" t="s">
        <v>222</v>
      </c>
      <c r="F194" s="45" t="s">
        <v>223</v>
      </c>
      <c r="G194" s="46">
        <v>45558</v>
      </c>
      <c r="H194" s="46">
        <v>46575</v>
      </c>
      <c r="I194" s="47" t="s">
        <v>323</v>
      </c>
      <c r="J194" s="48">
        <v>18001</v>
      </c>
      <c r="K194" s="96" t="s">
        <v>603</v>
      </c>
      <c r="L194" s="8" t="s">
        <v>70</v>
      </c>
      <c r="M194" s="4" t="s">
        <v>225</v>
      </c>
      <c r="N194" s="45" t="s">
        <v>226</v>
      </c>
      <c r="O194" s="49" t="s">
        <v>42</v>
      </c>
      <c r="P194" s="49"/>
      <c r="Q194" s="49" t="s">
        <v>44</v>
      </c>
      <c r="R194" s="117" t="s">
        <v>367</v>
      </c>
      <c r="S194" s="51">
        <v>0</v>
      </c>
      <c r="T194" s="51"/>
      <c r="U194" s="52">
        <v>3529200000</v>
      </c>
      <c r="V194" s="52"/>
      <c r="W194" s="53">
        <f>PROYECTOS_DIH[[#This Row],[VALOR DESEMBOLSOS PROYECTO]]/PROYECTOS_DIH[[#This Row],[Valor Proyecto Inicial.]]</f>
        <v>0</v>
      </c>
      <c r="X194" s="54">
        <v>0</v>
      </c>
      <c r="Y194" s="54" t="s">
        <v>1169</v>
      </c>
      <c r="Z194" s="55">
        <v>16400</v>
      </c>
      <c r="AA194" s="57" t="s">
        <v>368</v>
      </c>
      <c r="AB194" s="5" t="s">
        <v>1165</v>
      </c>
      <c r="AC194" s="56" t="s">
        <v>47</v>
      </c>
      <c r="AD194" s="59">
        <v>1.61792293</v>
      </c>
      <c r="AE194" s="59">
        <v>-75.608560429999997</v>
      </c>
      <c r="AF194" s="5" t="s">
        <v>326</v>
      </c>
      <c r="AG194" s="81" t="s">
        <v>80</v>
      </c>
    </row>
    <row r="195" spans="1:33" s="99" customFormat="1" ht="11.4" customHeight="1" x14ac:dyDescent="0.3">
      <c r="A195" s="114" t="s">
        <v>221</v>
      </c>
      <c r="B195" s="43">
        <v>357</v>
      </c>
      <c r="C195" s="94">
        <v>16672</v>
      </c>
      <c r="D195" s="44">
        <v>2024</v>
      </c>
      <c r="E195" s="44" t="s">
        <v>222</v>
      </c>
      <c r="F195" s="45" t="s">
        <v>223</v>
      </c>
      <c r="G195" s="46">
        <v>45558</v>
      </c>
      <c r="H195" s="46">
        <v>46575</v>
      </c>
      <c r="I195" s="47" t="s">
        <v>348</v>
      </c>
      <c r="J195" s="48">
        <v>50001</v>
      </c>
      <c r="K195" s="96" t="s">
        <v>1088</v>
      </c>
      <c r="L195" s="8" t="s">
        <v>70</v>
      </c>
      <c r="M195" s="144" t="s">
        <v>225</v>
      </c>
      <c r="N195" s="45" t="s">
        <v>226</v>
      </c>
      <c r="O195" s="49" t="s">
        <v>42</v>
      </c>
      <c r="P195" s="49"/>
      <c r="Q195" s="45" t="s">
        <v>120</v>
      </c>
      <c r="R195" s="117" t="s">
        <v>233</v>
      </c>
      <c r="S195" s="51">
        <v>0</v>
      </c>
      <c r="T195" s="51"/>
      <c r="U195" s="118"/>
      <c r="V195" s="118"/>
      <c r="W195" s="53" t="e">
        <f>PROYECTOS_DIH[[#This Row],[VALOR DESEMBOLSOS PROYECTO]]/PROYECTOS_DIH[[#This Row],[Valor Proyecto Inicial.]]</f>
        <v>#DIV/0!</v>
      </c>
      <c r="X195" s="54">
        <v>0</v>
      </c>
      <c r="Y195" s="54" t="s">
        <v>1169</v>
      </c>
      <c r="Z195" s="55">
        <v>16400</v>
      </c>
      <c r="AA195" s="57" t="s">
        <v>1089</v>
      </c>
      <c r="AB195" s="5" t="s">
        <v>1157</v>
      </c>
      <c r="AC195" s="56" t="s">
        <v>62</v>
      </c>
      <c r="AD195" s="59">
        <v>4.1238615000000003</v>
      </c>
      <c r="AE195" s="59">
        <v>-73.627092039999994</v>
      </c>
      <c r="AF195" s="5" t="s">
        <v>352</v>
      </c>
      <c r="AG195" s="120" t="s">
        <v>353</v>
      </c>
    </row>
    <row r="196" spans="1:33" s="99" customFormat="1" ht="11.4" customHeight="1" x14ac:dyDescent="0.3">
      <c r="A196" s="114" t="s">
        <v>221</v>
      </c>
      <c r="B196" s="43">
        <v>177</v>
      </c>
      <c r="C196" s="94">
        <v>16673</v>
      </c>
      <c r="D196" s="44">
        <v>2024</v>
      </c>
      <c r="E196" s="44" t="s">
        <v>222</v>
      </c>
      <c r="F196" s="45" t="s">
        <v>223</v>
      </c>
      <c r="G196" s="46">
        <v>45558</v>
      </c>
      <c r="H196" s="46">
        <v>46575</v>
      </c>
      <c r="I196" s="47" t="s">
        <v>604</v>
      </c>
      <c r="J196" s="48">
        <v>85001</v>
      </c>
      <c r="K196" s="127" t="s">
        <v>605</v>
      </c>
      <c r="L196" s="8" t="s">
        <v>70</v>
      </c>
      <c r="M196" s="4" t="s">
        <v>225</v>
      </c>
      <c r="N196" s="45" t="s">
        <v>226</v>
      </c>
      <c r="O196" s="45" t="s">
        <v>42</v>
      </c>
      <c r="P196" s="49" t="s">
        <v>42</v>
      </c>
      <c r="Q196" s="49" t="s">
        <v>170</v>
      </c>
      <c r="R196" s="117" t="s">
        <v>350</v>
      </c>
      <c r="S196" s="51">
        <v>2.1399999999999999E-2</v>
      </c>
      <c r="T196" s="51"/>
      <c r="U196" s="128">
        <v>3835179731.8000002</v>
      </c>
      <c r="V196" s="128"/>
      <c r="W196" s="53">
        <f>PROYECTOS_DIH[[#This Row],[VALOR DESEMBOLSOS PROYECTO]]/PROYECTOS_DIH[[#This Row],[Valor Proyecto Inicial.]]</f>
        <v>6.1030671068483351E-3</v>
      </c>
      <c r="X196" s="54">
        <v>23406359.27</v>
      </c>
      <c r="Y196" s="54" t="s">
        <v>1169</v>
      </c>
      <c r="Z196" s="55">
        <v>10000</v>
      </c>
      <c r="AA196" s="122" t="s">
        <v>606</v>
      </c>
      <c r="AB196" s="5" t="s">
        <v>1163</v>
      </c>
      <c r="AC196" s="56" t="s">
        <v>62</v>
      </c>
      <c r="AD196" s="59">
        <v>5.3276126509999999</v>
      </c>
      <c r="AE196" s="59">
        <v>-72.396915160000006</v>
      </c>
      <c r="AF196" s="5" t="s">
        <v>607</v>
      </c>
      <c r="AG196" s="120" t="s">
        <v>353</v>
      </c>
    </row>
    <row r="197" spans="1:33" s="99" customFormat="1" ht="11.4" customHeight="1" x14ac:dyDescent="0.3">
      <c r="A197" s="114" t="s">
        <v>221</v>
      </c>
      <c r="B197" s="43">
        <v>178</v>
      </c>
      <c r="C197" s="94">
        <v>16674</v>
      </c>
      <c r="D197" s="44">
        <v>2024</v>
      </c>
      <c r="E197" s="44" t="s">
        <v>222</v>
      </c>
      <c r="F197" s="45" t="s">
        <v>223</v>
      </c>
      <c r="G197" s="46">
        <v>45558</v>
      </c>
      <c r="H197" s="46">
        <v>46575</v>
      </c>
      <c r="I197" s="4" t="s">
        <v>201</v>
      </c>
      <c r="J197" s="63">
        <v>13001</v>
      </c>
      <c r="K197" s="127" t="s">
        <v>608</v>
      </c>
      <c r="L197" s="8" t="s">
        <v>70</v>
      </c>
      <c r="M197" s="4" t="s">
        <v>225</v>
      </c>
      <c r="N197" s="45" t="s">
        <v>226</v>
      </c>
      <c r="O197" s="45" t="s">
        <v>42</v>
      </c>
      <c r="P197" s="45"/>
      <c r="Q197" s="49" t="s">
        <v>170</v>
      </c>
      <c r="R197" s="117" t="s">
        <v>609</v>
      </c>
      <c r="S197" s="51">
        <v>0.1638</v>
      </c>
      <c r="T197" s="51"/>
      <c r="U197" s="52">
        <v>4702805930</v>
      </c>
      <c r="V197" s="52"/>
      <c r="W197" s="53">
        <f>PROYECTOS_DIH[[#This Row],[VALOR DESEMBOLSOS PROYECTO]]/PROYECTOS_DIH[[#This Row],[Valor Proyecto Inicial.]]</f>
        <v>4.8883231972959599E-3</v>
      </c>
      <c r="X197" s="54">
        <v>22988835.32</v>
      </c>
      <c r="Y197" s="54" t="s">
        <v>1169</v>
      </c>
      <c r="Z197" s="55">
        <v>801100</v>
      </c>
      <c r="AA197" s="122" t="s">
        <v>610</v>
      </c>
      <c r="AB197" s="5" t="s">
        <v>1152</v>
      </c>
      <c r="AC197" s="56" t="s">
        <v>62</v>
      </c>
      <c r="AD197" s="59">
        <v>10.384985520000001</v>
      </c>
      <c r="AE197" s="59">
        <v>-75.496431029999997</v>
      </c>
      <c r="AF197" s="5" t="s">
        <v>205</v>
      </c>
      <c r="AG197" s="71" t="s">
        <v>64</v>
      </c>
    </row>
    <row r="198" spans="1:33" s="99" customFormat="1" ht="11.4" customHeight="1" x14ac:dyDescent="0.3">
      <c r="A198" s="114" t="s">
        <v>221</v>
      </c>
      <c r="B198" s="43">
        <v>179</v>
      </c>
      <c r="C198" s="94">
        <v>16675</v>
      </c>
      <c r="D198" s="44">
        <v>2024</v>
      </c>
      <c r="E198" s="44" t="s">
        <v>222</v>
      </c>
      <c r="F198" s="45" t="s">
        <v>223</v>
      </c>
      <c r="G198" s="46">
        <v>45558</v>
      </c>
      <c r="H198" s="46">
        <v>46575</v>
      </c>
      <c r="I198" s="47" t="s">
        <v>323</v>
      </c>
      <c r="J198" s="48">
        <v>18592</v>
      </c>
      <c r="K198" s="96" t="s">
        <v>481</v>
      </c>
      <c r="L198" s="8" t="s">
        <v>70</v>
      </c>
      <c r="M198" s="4" t="s">
        <v>225</v>
      </c>
      <c r="N198" s="45" t="s">
        <v>226</v>
      </c>
      <c r="O198" s="49" t="s">
        <v>42</v>
      </c>
      <c r="P198" s="49"/>
      <c r="Q198" s="49" t="s">
        <v>44</v>
      </c>
      <c r="R198" s="117" t="s">
        <v>367</v>
      </c>
      <c r="S198" s="51">
        <v>0</v>
      </c>
      <c r="T198" s="51"/>
      <c r="U198" s="52">
        <v>3529200000</v>
      </c>
      <c r="V198" s="52"/>
      <c r="W198" s="53">
        <f>PROYECTOS_DIH[[#This Row],[VALOR DESEMBOLSOS PROYECTO]]/PROYECTOS_DIH[[#This Row],[Valor Proyecto Inicial.]]</f>
        <v>0</v>
      </c>
      <c r="X198" s="54">
        <v>0</v>
      </c>
      <c r="Y198" s="54" t="s">
        <v>1169</v>
      </c>
      <c r="Z198" s="55">
        <v>16400</v>
      </c>
      <c r="AA198" s="57" t="s">
        <v>368</v>
      </c>
      <c r="AB198" s="5" t="s">
        <v>1165</v>
      </c>
      <c r="AC198" s="56" t="s">
        <v>47</v>
      </c>
      <c r="AD198" s="59">
        <v>1.9089350730000001</v>
      </c>
      <c r="AE198" s="59">
        <v>-75.157488740000005</v>
      </c>
      <c r="AF198" s="5" t="s">
        <v>326</v>
      </c>
      <c r="AG198" s="81" t="s">
        <v>80</v>
      </c>
    </row>
    <row r="199" spans="1:33" s="99" customFormat="1" ht="11.4" customHeight="1" x14ac:dyDescent="0.3">
      <c r="A199" s="114" t="s">
        <v>221</v>
      </c>
      <c r="B199" s="43">
        <v>144</v>
      </c>
      <c r="C199" s="94">
        <v>16676</v>
      </c>
      <c r="D199" s="44">
        <v>2024</v>
      </c>
      <c r="E199" s="44" t="s">
        <v>222</v>
      </c>
      <c r="F199" s="45" t="s">
        <v>223</v>
      </c>
      <c r="G199" s="46">
        <v>45558</v>
      </c>
      <c r="H199" s="46">
        <v>46575</v>
      </c>
      <c r="I199" s="97" t="s">
        <v>149</v>
      </c>
      <c r="J199" s="138">
        <v>47189</v>
      </c>
      <c r="K199" s="96" t="s">
        <v>534</v>
      </c>
      <c r="L199" s="8" t="s">
        <v>70</v>
      </c>
      <c r="M199" s="4" t="s">
        <v>225</v>
      </c>
      <c r="N199" s="45" t="s">
        <v>226</v>
      </c>
      <c r="O199" s="49" t="s">
        <v>42</v>
      </c>
      <c r="P199" s="49"/>
      <c r="Q199" s="45" t="s">
        <v>120</v>
      </c>
      <c r="R199" s="50" t="s">
        <v>227</v>
      </c>
      <c r="S199" s="51">
        <v>0</v>
      </c>
      <c r="T199" s="51"/>
      <c r="U199" s="118"/>
      <c r="V199" s="118"/>
      <c r="W199" s="53" t="e">
        <f>PROYECTOS_DIH[[#This Row],[VALOR DESEMBOLSOS PROYECTO]]/PROYECTOS_DIH[[#This Row],[Valor Proyecto Inicial.]]</f>
        <v>#DIV/0!</v>
      </c>
      <c r="X199" s="54">
        <v>0</v>
      </c>
      <c r="Y199" s="54" t="s">
        <v>1169</v>
      </c>
      <c r="Z199" s="55">
        <v>16400</v>
      </c>
      <c r="AA199" s="57" t="s">
        <v>535</v>
      </c>
      <c r="AB199" s="5" t="s">
        <v>1139</v>
      </c>
      <c r="AC199" s="56" t="s">
        <v>47</v>
      </c>
      <c r="AD199" s="59">
        <v>11.00665688</v>
      </c>
      <c r="AE199" s="59">
        <v>-74.241286160000001</v>
      </c>
      <c r="AF199" s="5" t="s">
        <v>150</v>
      </c>
      <c r="AG199" s="71" t="s">
        <v>64</v>
      </c>
    </row>
    <row r="200" spans="1:33" s="99" customFormat="1" ht="11.4" customHeight="1" x14ac:dyDescent="0.3">
      <c r="A200" s="114" t="s">
        <v>221</v>
      </c>
      <c r="B200" s="43">
        <v>248</v>
      </c>
      <c r="C200" s="94">
        <v>16677</v>
      </c>
      <c r="D200" s="44">
        <v>2024</v>
      </c>
      <c r="E200" s="44" t="s">
        <v>222</v>
      </c>
      <c r="F200" s="45" t="s">
        <v>223</v>
      </c>
      <c r="G200" s="46">
        <v>45558</v>
      </c>
      <c r="H200" s="46">
        <v>46575</v>
      </c>
      <c r="I200" s="47" t="s">
        <v>88</v>
      </c>
      <c r="J200" s="48">
        <v>52540</v>
      </c>
      <c r="K200" s="96" t="s">
        <v>823</v>
      </c>
      <c r="L200" s="8" t="s">
        <v>70</v>
      </c>
      <c r="M200" s="4" t="s">
        <v>225</v>
      </c>
      <c r="N200" s="45" t="s">
        <v>226</v>
      </c>
      <c r="O200" s="49" t="s">
        <v>42</v>
      </c>
      <c r="P200" s="49"/>
      <c r="Q200" s="45" t="s">
        <v>120</v>
      </c>
      <c r="R200" s="50" t="s">
        <v>227</v>
      </c>
      <c r="S200" s="51">
        <v>0</v>
      </c>
      <c r="T200" s="51"/>
      <c r="U200" s="118"/>
      <c r="V200" s="118"/>
      <c r="W200" s="53" t="e">
        <f>PROYECTOS_DIH[[#This Row],[VALOR DESEMBOLSOS PROYECTO]]/PROYECTOS_DIH[[#This Row],[Valor Proyecto Inicial.]]</f>
        <v>#DIV/0!</v>
      </c>
      <c r="X200" s="54">
        <v>0</v>
      </c>
      <c r="Y200" s="54" t="s">
        <v>1169</v>
      </c>
      <c r="Z200" s="55">
        <v>16400</v>
      </c>
      <c r="AA200" s="57" t="s">
        <v>824</v>
      </c>
      <c r="AB200" s="5" t="s">
        <v>1145</v>
      </c>
      <c r="AC200" s="56" t="s">
        <v>47</v>
      </c>
      <c r="AD200" s="59">
        <v>1.6281387199999999</v>
      </c>
      <c r="AE200" s="59">
        <v>-77.459265389999999</v>
      </c>
      <c r="AF200" s="5" t="s">
        <v>91</v>
      </c>
      <c r="AG200" s="77" t="s">
        <v>75</v>
      </c>
    </row>
    <row r="201" spans="1:33" s="99" customFormat="1" ht="11.4" customHeight="1" x14ac:dyDescent="0.3">
      <c r="A201" s="114" t="s">
        <v>221</v>
      </c>
      <c r="B201" s="43">
        <v>180</v>
      </c>
      <c r="C201" s="94">
        <v>16678</v>
      </c>
      <c r="D201" s="44">
        <v>2024</v>
      </c>
      <c r="E201" s="44" t="s">
        <v>222</v>
      </c>
      <c r="F201" s="45" t="s">
        <v>223</v>
      </c>
      <c r="G201" s="46">
        <v>45558</v>
      </c>
      <c r="H201" s="46">
        <v>46575</v>
      </c>
      <c r="I201" s="47" t="s">
        <v>377</v>
      </c>
      <c r="J201" s="48">
        <v>86568</v>
      </c>
      <c r="K201" s="127" t="s">
        <v>611</v>
      </c>
      <c r="L201" s="8" t="s">
        <v>70</v>
      </c>
      <c r="M201" s="4" t="s">
        <v>225</v>
      </c>
      <c r="N201" s="45" t="s">
        <v>226</v>
      </c>
      <c r="O201" s="49" t="s">
        <v>42</v>
      </c>
      <c r="P201" s="49" t="s">
        <v>42</v>
      </c>
      <c r="Q201" s="49" t="s">
        <v>170</v>
      </c>
      <c r="R201" s="117" t="s">
        <v>419</v>
      </c>
      <c r="S201" s="51">
        <v>0.28000000000000003</v>
      </c>
      <c r="T201" s="51"/>
      <c r="U201" s="52">
        <v>3686168907.04</v>
      </c>
      <c r="V201" s="52"/>
      <c r="W201" s="53">
        <f>PROYECTOS_DIH[[#This Row],[VALOR DESEMBOLSOS PROYECTO]]/PROYECTOS_DIH[[#This Row],[Valor Proyecto Inicial.]]</f>
        <v>0.17103289247433251</v>
      </c>
      <c r="X201" s="54">
        <v>630456130.32000005</v>
      </c>
      <c r="Y201" s="54" t="s">
        <v>1169</v>
      </c>
      <c r="Z201" s="55">
        <v>35032</v>
      </c>
      <c r="AA201" s="122" t="s">
        <v>612</v>
      </c>
      <c r="AB201" s="5" t="s">
        <v>1150</v>
      </c>
      <c r="AC201" s="56" t="s">
        <v>47</v>
      </c>
      <c r="AD201" s="59">
        <v>0.505046722</v>
      </c>
      <c r="AE201" s="59">
        <v>-76.497272850000002</v>
      </c>
      <c r="AF201" s="5" t="s">
        <v>381</v>
      </c>
      <c r="AG201" s="81" t="s">
        <v>80</v>
      </c>
    </row>
    <row r="202" spans="1:33" s="99" customFormat="1" ht="11.4" customHeight="1" x14ac:dyDescent="0.3">
      <c r="A202" s="114" t="s">
        <v>221</v>
      </c>
      <c r="B202" s="43">
        <v>199</v>
      </c>
      <c r="C202" s="94">
        <v>16679</v>
      </c>
      <c r="D202" s="44">
        <v>2024</v>
      </c>
      <c r="E202" s="44" t="s">
        <v>222</v>
      </c>
      <c r="F202" s="45" t="s">
        <v>223</v>
      </c>
      <c r="G202" s="46">
        <v>45558</v>
      </c>
      <c r="H202" s="46">
        <v>46575</v>
      </c>
      <c r="I202" s="47" t="s">
        <v>88</v>
      </c>
      <c r="J202" s="48">
        <v>52390</v>
      </c>
      <c r="K202" s="96" t="s">
        <v>664</v>
      </c>
      <c r="L202" s="8" t="s">
        <v>70</v>
      </c>
      <c r="M202" s="4" t="s">
        <v>225</v>
      </c>
      <c r="N202" s="45" t="s">
        <v>226</v>
      </c>
      <c r="O202" s="49" t="s">
        <v>42</v>
      </c>
      <c r="P202" s="49"/>
      <c r="Q202" s="49" t="s">
        <v>120</v>
      </c>
      <c r="R202" s="117" t="s">
        <v>492</v>
      </c>
      <c r="S202" s="51">
        <v>0</v>
      </c>
      <c r="T202" s="51"/>
      <c r="U202" s="52">
        <v>5652135589</v>
      </c>
      <c r="V202" s="52"/>
      <c r="W202" s="53">
        <f>PROYECTOS_DIH[[#This Row],[VALOR DESEMBOLSOS PROYECTO]]/PROYECTOS_DIH[[#This Row],[Valor Proyecto Inicial.]]</f>
        <v>0</v>
      </c>
      <c r="X202" s="54">
        <v>0</v>
      </c>
      <c r="Y202" s="54" t="s">
        <v>1169</v>
      </c>
      <c r="Z202" s="55">
        <v>16400</v>
      </c>
      <c r="AA202" s="122" t="s">
        <v>665</v>
      </c>
      <c r="AB202" s="5" t="s">
        <v>1145</v>
      </c>
      <c r="AC202" s="56" t="s">
        <v>47</v>
      </c>
      <c r="AD202" s="59">
        <v>2.3982121909999998</v>
      </c>
      <c r="AE202" s="59">
        <v>-78.19039205</v>
      </c>
      <c r="AF202" s="5" t="s">
        <v>91</v>
      </c>
      <c r="AG202" s="77" t="s">
        <v>75</v>
      </c>
    </row>
    <row r="203" spans="1:33" s="99" customFormat="1" ht="11.4" customHeight="1" x14ac:dyDescent="0.3">
      <c r="A203" s="114" t="s">
        <v>221</v>
      </c>
      <c r="B203" s="43">
        <v>181</v>
      </c>
      <c r="C203" s="94">
        <v>16680</v>
      </c>
      <c r="D203" s="44">
        <v>2024</v>
      </c>
      <c r="E203" s="44" t="s">
        <v>222</v>
      </c>
      <c r="F203" s="45" t="s">
        <v>223</v>
      </c>
      <c r="G203" s="46">
        <v>45558</v>
      </c>
      <c r="H203" s="46">
        <v>46575</v>
      </c>
      <c r="I203" s="47" t="s">
        <v>166</v>
      </c>
      <c r="J203" s="48">
        <v>41001</v>
      </c>
      <c r="K203" s="127" t="s">
        <v>615</v>
      </c>
      <c r="L203" s="8" t="s">
        <v>70</v>
      </c>
      <c r="M203" s="4" t="s">
        <v>225</v>
      </c>
      <c r="N203" s="45" t="s">
        <v>226</v>
      </c>
      <c r="O203" s="45" t="s">
        <v>42</v>
      </c>
      <c r="P203" s="49" t="s">
        <v>42</v>
      </c>
      <c r="Q203" s="49" t="s">
        <v>170</v>
      </c>
      <c r="R203" s="117" t="s">
        <v>609</v>
      </c>
      <c r="S203" s="51">
        <v>0.01</v>
      </c>
      <c r="T203" s="51"/>
      <c r="U203" s="52">
        <v>3146800001.1700001</v>
      </c>
      <c r="V203" s="52"/>
      <c r="W203" s="53">
        <f>PROYECTOS_DIH[[#This Row],[VALOR DESEMBOLSOS PROYECTO]]/PROYECTOS_DIH[[#This Row],[Valor Proyecto Inicial.]]</f>
        <v>7.146431016155674E-3</v>
      </c>
      <c r="X203" s="54">
        <v>22488389.129999999</v>
      </c>
      <c r="Y203" s="54" t="s">
        <v>1169</v>
      </c>
      <c r="Z203" s="55">
        <v>10000</v>
      </c>
      <c r="AA203" s="122" t="s">
        <v>616</v>
      </c>
      <c r="AB203" s="5" t="s">
        <v>1155</v>
      </c>
      <c r="AC203" s="56" t="s">
        <v>62</v>
      </c>
      <c r="AD203" s="59">
        <v>2.9356044149999998</v>
      </c>
      <c r="AE203" s="59">
        <v>-75.277722589999996</v>
      </c>
      <c r="AF203" s="5" t="s">
        <v>172</v>
      </c>
      <c r="AG203" s="81" t="s">
        <v>80</v>
      </c>
    </row>
    <row r="204" spans="1:33" s="99" customFormat="1" ht="11.4" customHeight="1" x14ac:dyDescent="0.3">
      <c r="A204" s="114" t="s">
        <v>221</v>
      </c>
      <c r="B204" s="43">
        <v>236</v>
      </c>
      <c r="C204" s="94">
        <v>16681</v>
      </c>
      <c r="D204" s="44">
        <v>2024</v>
      </c>
      <c r="E204" s="44" t="s">
        <v>222</v>
      </c>
      <c r="F204" s="45" t="s">
        <v>223</v>
      </c>
      <c r="G204" s="46">
        <v>45558</v>
      </c>
      <c r="H204" s="46">
        <v>46575</v>
      </c>
      <c r="I204" s="47" t="s">
        <v>88</v>
      </c>
      <c r="J204" s="48">
        <v>52490</v>
      </c>
      <c r="K204" s="96" t="s">
        <v>780</v>
      </c>
      <c r="L204" s="8" t="s">
        <v>70</v>
      </c>
      <c r="M204" s="4" t="s">
        <v>225</v>
      </c>
      <c r="N204" s="45" t="s">
        <v>226</v>
      </c>
      <c r="O204" s="49" t="s">
        <v>42</v>
      </c>
      <c r="P204" s="49"/>
      <c r="Q204" s="49" t="s">
        <v>120</v>
      </c>
      <c r="R204" s="117" t="s">
        <v>492</v>
      </c>
      <c r="S204" s="51">
        <v>0</v>
      </c>
      <c r="T204" s="51"/>
      <c r="U204" s="52">
        <v>5832048615</v>
      </c>
      <c r="V204" s="52"/>
      <c r="W204" s="53">
        <f>PROYECTOS_DIH[[#This Row],[VALOR DESEMBOLSOS PROYECTO]]/PROYECTOS_DIH[[#This Row],[Valor Proyecto Inicial.]]</f>
        <v>0</v>
      </c>
      <c r="X204" s="54">
        <v>0</v>
      </c>
      <c r="Y204" s="54" t="s">
        <v>1169</v>
      </c>
      <c r="Z204" s="55">
        <v>16400</v>
      </c>
      <c r="AA204" s="122" t="s">
        <v>781</v>
      </c>
      <c r="AB204" s="5" t="s">
        <v>1145</v>
      </c>
      <c r="AC204" s="56" t="s">
        <v>47</v>
      </c>
      <c r="AD204" s="59">
        <v>2.3475844879999999</v>
      </c>
      <c r="AE204" s="59">
        <v>-78.325618710000001</v>
      </c>
      <c r="AF204" s="5" t="s">
        <v>91</v>
      </c>
      <c r="AG204" s="77" t="s">
        <v>75</v>
      </c>
    </row>
    <row r="205" spans="1:33" s="99" customFormat="1" ht="11.4" customHeight="1" x14ac:dyDescent="0.3">
      <c r="A205" s="114" t="s">
        <v>221</v>
      </c>
      <c r="B205" s="43">
        <v>182</v>
      </c>
      <c r="C205" s="94">
        <v>16682</v>
      </c>
      <c r="D205" s="44">
        <v>2024</v>
      </c>
      <c r="E205" s="44" t="s">
        <v>222</v>
      </c>
      <c r="F205" s="45" t="s">
        <v>223</v>
      </c>
      <c r="G205" s="46">
        <v>45558</v>
      </c>
      <c r="H205" s="46">
        <v>46575</v>
      </c>
      <c r="I205" s="47" t="s">
        <v>268</v>
      </c>
      <c r="J205" s="48">
        <v>19142</v>
      </c>
      <c r="K205" s="96" t="s">
        <v>464</v>
      </c>
      <c r="L205" s="8" t="s">
        <v>70</v>
      </c>
      <c r="M205" s="4" t="s">
        <v>225</v>
      </c>
      <c r="N205" s="45" t="s">
        <v>226</v>
      </c>
      <c r="O205" s="49" t="s">
        <v>42</v>
      </c>
      <c r="P205" s="49" t="s">
        <v>42</v>
      </c>
      <c r="Q205" s="49" t="s">
        <v>170</v>
      </c>
      <c r="R205" s="117" t="s">
        <v>350</v>
      </c>
      <c r="S205" s="51">
        <v>0.52900000000000003</v>
      </c>
      <c r="T205" s="51"/>
      <c r="U205" s="52">
        <v>4812254243.3000002</v>
      </c>
      <c r="V205" s="52"/>
      <c r="W205" s="53">
        <f>PROYECTOS_DIH[[#This Row],[VALOR DESEMBOLSOS PROYECTO]]/PROYECTOS_DIH[[#This Row],[Valor Proyecto Inicial.]]</f>
        <v>0.44816789018425718</v>
      </c>
      <c r="X205" s="54">
        <v>2156697831.25</v>
      </c>
      <c r="Y205" s="54" t="s">
        <v>1169</v>
      </c>
      <c r="Z205" s="55">
        <v>5075</v>
      </c>
      <c r="AA205" s="122" t="s">
        <v>617</v>
      </c>
      <c r="AB205" s="5" t="s">
        <v>1138</v>
      </c>
      <c r="AC205" s="56" t="s">
        <v>47</v>
      </c>
      <c r="AD205" s="59">
        <v>3.0340707779999998</v>
      </c>
      <c r="AE205" s="59">
        <v>-76.408487039999997</v>
      </c>
      <c r="AF205" s="5" t="s">
        <v>272</v>
      </c>
      <c r="AG205" s="77" t="s">
        <v>75</v>
      </c>
    </row>
    <row r="206" spans="1:33" s="99" customFormat="1" ht="11.4" customHeight="1" x14ac:dyDescent="0.3">
      <c r="A206" s="114" t="s">
        <v>221</v>
      </c>
      <c r="B206" s="43">
        <v>183</v>
      </c>
      <c r="C206" s="94">
        <v>16683</v>
      </c>
      <c r="D206" s="44">
        <v>2024</v>
      </c>
      <c r="E206" s="44" t="s">
        <v>222</v>
      </c>
      <c r="F206" s="45" t="s">
        <v>223</v>
      </c>
      <c r="G206" s="46">
        <v>45558</v>
      </c>
      <c r="H206" s="46">
        <v>46575</v>
      </c>
      <c r="I206" s="47" t="s">
        <v>394</v>
      </c>
      <c r="J206" s="48">
        <v>70473</v>
      </c>
      <c r="K206" s="127" t="s">
        <v>618</v>
      </c>
      <c r="L206" s="8" t="s">
        <v>70</v>
      </c>
      <c r="M206" s="4" t="s">
        <v>225</v>
      </c>
      <c r="N206" s="45" t="s">
        <v>226</v>
      </c>
      <c r="O206" s="45" t="s">
        <v>42</v>
      </c>
      <c r="P206" s="49" t="s">
        <v>42</v>
      </c>
      <c r="Q206" s="49" t="s">
        <v>170</v>
      </c>
      <c r="R206" s="117" t="s">
        <v>350</v>
      </c>
      <c r="S206" s="67">
        <v>0.30309999999999998</v>
      </c>
      <c r="T206" s="51"/>
      <c r="U206" s="52">
        <v>3616974112.5900002</v>
      </c>
      <c r="V206" s="52"/>
      <c r="W206" s="53">
        <f>PROYECTOS_DIH[[#This Row],[VALOR DESEMBOLSOS PROYECTO]]/PROYECTOS_DIH[[#This Row],[Valor Proyecto Inicial.]]</f>
        <v>0.23611674410587849</v>
      </c>
      <c r="X206" s="54">
        <v>854028150.98000002</v>
      </c>
      <c r="Y206" s="54" t="s">
        <v>1169</v>
      </c>
      <c r="Z206" s="55">
        <v>8975</v>
      </c>
      <c r="AA206" s="122" t="s">
        <v>619</v>
      </c>
      <c r="AB206" s="5" t="s">
        <v>1133</v>
      </c>
      <c r="AC206" s="56" t="s">
        <v>47</v>
      </c>
      <c r="AD206" s="59">
        <v>9.3313193810000001</v>
      </c>
      <c r="AE206" s="59">
        <v>-75.30619978</v>
      </c>
      <c r="AF206" s="5" t="s">
        <v>397</v>
      </c>
      <c r="AG206" s="71" t="s">
        <v>64</v>
      </c>
    </row>
    <row r="207" spans="1:33" s="99" customFormat="1" ht="11.4" customHeight="1" x14ac:dyDescent="0.3">
      <c r="A207" s="114" t="s">
        <v>221</v>
      </c>
      <c r="B207" s="43">
        <v>184</v>
      </c>
      <c r="C207" s="94">
        <v>16684</v>
      </c>
      <c r="D207" s="44">
        <v>2024</v>
      </c>
      <c r="E207" s="44" t="s">
        <v>222</v>
      </c>
      <c r="F207" s="45" t="s">
        <v>223</v>
      </c>
      <c r="G207" s="46">
        <v>45558</v>
      </c>
      <c r="H207" s="46">
        <v>46575</v>
      </c>
      <c r="I207" s="47" t="s">
        <v>377</v>
      </c>
      <c r="J207" s="48">
        <v>86571</v>
      </c>
      <c r="K207" s="127" t="s">
        <v>620</v>
      </c>
      <c r="L207" s="8" t="s">
        <v>70</v>
      </c>
      <c r="M207" s="4" t="s">
        <v>225</v>
      </c>
      <c r="N207" s="45" t="s">
        <v>226</v>
      </c>
      <c r="O207" s="49" t="s">
        <v>42</v>
      </c>
      <c r="P207" s="49" t="s">
        <v>42</v>
      </c>
      <c r="Q207" s="49" t="s">
        <v>170</v>
      </c>
      <c r="R207" s="117" t="s">
        <v>350</v>
      </c>
      <c r="S207" s="51">
        <v>0.72</v>
      </c>
      <c r="T207" s="51"/>
      <c r="U207" s="52">
        <v>5566746096.9899998</v>
      </c>
      <c r="V207" s="52"/>
      <c r="W207" s="53">
        <f>PROYECTOS_DIH[[#This Row],[VALOR DESEMBOLSOS PROYECTO]]/PROYECTOS_DIH[[#This Row],[Valor Proyecto Inicial.]]</f>
        <v>0.36022695853225339</v>
      </c>
      <c r="X207" s="54">
        <v>2005292015.4400001</v>
      </c>
      <c r="Y207" s="54" t="s">
        <v>1169</v>
      </c>
      <c r="Z207" s="55">
        <v>4341</v>
      </c>
      <c r="AA207" s="122" t="s">
        <v>417</v>
      </c>
      <c r="AB207" s="5" t="s">
        <v>1150</v>
      </c>
      <c r="AC207" s="56" t="s">
        <v>47</v>
      </c>
      <c r="AD207" s="59">
        <v>0.96292243899999996</v>
      </c>
      <c r="AE207" s="59">
        <v>-76.408521539999995</v>
      </c>
      <c r="AF207" s="5" t="s">
        <v>381</v>
      </c>
      <c r="AG207" s="81" t="s">
        <v>80</v>
      </c>
    </row>
    <row r="208" spans="1:33" s="99" customFormat="1" ht="11.4" customHeight="1" x14ac:dyDescent="0.3">
      <c r="A208" s="114" t="s">
        <v>221</v>
      </c>
      <c r="B208" s="43">
        <v>185</v>
      </c>
      <c r="C208" s="94">
        <v>16685</v>
      </c>
      <c r="D208" s="44">
        <v>2024</v>
      </c>
      <c r="E208" s="44" t="s">
        <v>222</v>
      </c>
      <c r="F208" s="45" t="s">
        <v>223</v>
      </c>
      <c r="G208" s="46">
        <v>45558</v>
      </c>
      <c r="H208" s="46">
        <v>46575</v>
      </c>
      <c r="I208" s="47" t="s">
        <v>176</v>
      </c>
      <c r="J208" s="48">
        <v>54001</v>
      </c>
      <c r="K208" s="127" t="s">
        <v>621</v>
      </c>
      <c r="L208" s="8" t="s">
        <v>70</v>
      </c>
      <c r="M208" s="4" t="s">
        <v>225</v>
      </c>
      <c r="N208" s="45" t="s">
        <v>226</v>
      </c>
      <c r="O208" s="49" t="s">
        <v>42</v>
      </c>
      <c r="P208" s="49" t="s">
        <v>58</v>
      </c>
      <c r="Q208" s="49" t="s">
        <v>59</v>
      </c>
      <c r="R208" s="117" t="s">
        <v>337</v>
      </c>
      <c r="S208" s="51">
        <v>1</v>
      </c>
      <c r="T208" s="51"/>
      <c r="U208" s="52">
        <v>3298104449.23</v>
      </c>
      <c r="V208" s="52"/>
      <c r="W208" s="53">
        <f>PROYECTOS_DIH[[#This Row],[VALOR DESEMBOLSOS PROYECTO]]/PROYECTOS_DIH[[#This Row],[Valor Proyecto Inicial.]]</f>
        <v>0.71682825396022787</v>
      </c>
      <c r="X208" s="10">
        <v>2364174453.7199998</v>
      </c>
      <c r="Y208" s="54" t="s">
        <v>1169</v>
      </c>
      <c r="Z208" s="55">
        <v>10000</v>
      </c>
      <c r="AA208" s="122" t="s">
        <v>622</v>
      </c>
      <c r="AB208" s="5" t="s">
        <v>1136</v>
      </c>
      <c r="AC208" s="56" t="s">
        <v>62</v>
      </c>
      <c r="AD208" s="59">
        <v>7.9053062949999999</v>
      </c>
      <c r="AE208" s="59">
        <v>-72.508256200000005</v>
      </c>
      <c r="AF208" s="5" t="s">
        <v>180</v>
      </c>
      <c r="AG208" s="93" t="s">
        <v>110</v>
      </c>
    </row>
    <row r="209" spans="1:33" s="99" customFormat="1" ht="11.4" customHeight="1" x14ac:dyDescent="0.3">
      <c r="A209" s="114" t="s">
        <v>221</v>
      </c>
      <c r="B209" s="43">
        <v>222</v>
      </c>
      <c r="C209" s="94">
        <v>16686</v>
      </c>
      <c r="D209" s="44">
        <v>2024</v>
      </c>
      <c r="E209" s="44" t="s">
        <v>222</v>
      </c>
      <c r="F209" s="45" t="s">
        <v>223</v>
      </c>
      <c r="G209" s="46">
        <v>45558</v>
      </c>
      <c r="H209" s="46">
        <v>46575</v>
      </c>
      <c r="I209" s="47" t="s">
        <v>377</v>
      </c>
      <c r="J209" s="48">
        <v>86001</v>
      </c>
      <c r="K209" s="96" t="s">
        <v>735</v>
      </c>
      <c r="L209" s="8" t="s">
        <v>70</v>
      </c>
      <c r="M209" s="4" t="s">
        <v>225</v>
      </c>
      <c r="N209" s="45" t="s">
        <v>226</v>
      </c>
      <c r="O209" s="49" t="s">
        <v>42</v>
      </c>
      <c r="P209" s="49"/>
      <c r="Q209" s="45" t="s">
        <v>120</v>
      </c>
      <c r="R209" s="50" t="s">
        <v>227</v>
      </c>
      <c r="S209" s="51">
        <v>0</v>
      </c>
      <c r="T209" s="51"/>
      <c r="U209" s="118"/>
      <c r="V209" s="118"/>
      <c r="W209" s="53" t="e">
        <f>PROYECTOS_DIH[[#This Row],[VALOR DESEMBOLSOS PROYECTO]]/PROYECTOS_DIH[[#This Row],[Valor Proyecto Inicial.]]</f>
        <v>#DIV/0!</v>
      </c>
      <c r="X209" s="54">
        <v>0</v>
      </c>
      <c r="Y209" s="54" t="s">
        <v>1169</v>
      </c>
      <c r="Z209" s="55">
        <v>16400</v>
      </c>
      <c r="AA209" s="57" t="s">
        <v>736</v>
      </c>
      <c r="AB209" s="5" t="s">
        <v>1150</v>
      </c>
      <c r="AC209" s="56" t="s">
        <v>47</v>
      </c>
      <c r="AD209" s="59">
        <v>1.152296118</v>
      </c>
      <c r="AE209" s="59">
        <v>-76.650271419999996</v>
      </c>
      <c r="AF209" s="5" t="s">
        <v>381</v>
      </c>
      <c r="AG209" s="81" t="s">
        <v>80</v>
      </c>
    </row>
    <row r="210" spans="1:33" s="99" customFormat="1" ht="11.4" customHeight="1" x14ac:dyDescent="0.3">
      <c r="A210" s="114" t="s">
        <v>221</v>
      </c>
      <c r="B210" s="43">
        <v>83</v>
      </c>
      <c r="C210" s="94">
        <v>16687</v>
      </c>
      <c r="D210" s="44">
        <v>2024</v>
      </c>
      <c r="E210" s="44" t="s">
        <v>222</v>
      </c>
      <c r="F210" s="45" t="s">
        <v>223</v>
      </c>
      <c r="G210" s="46">
        <v>45558</v>
      </c>
      <c r="H210" s="46">
        <v>46575</v>
      </c>
      <c r="I210" s="47" t="s">
        <v>68</v>
      </c>
      <c r="J210" s="48">
        <v>76109</v>
      </c>
      <c r="K210" s="96" t="s">
        <v>410</v>
      </c>
      <c r="L210" s="8" t="s">
        <v>70</v>
      </c>
      <c r="M210" s="4" t="s">
        <v>225</v>
      </c>
      <c r="N210" s="45" t="s">
        <v>226</v>
      </c>
      <c r="O210" s="49" t="s">
        <v>42</v>
      </c>
      <c r="P210" s="49"/>
      <c r="Q210" s="45" t="s">
        <v>120</v>
      </c>
      <c r="R210" s="50" t="s">
        <v>227</v>
      </c>
      <c r="S210" s="51">
        <v>0</v>
      </c>
      <c r="T210" s="51"/>
      <c r="U210" s="118"/>
      <c r="V210" s="118"/>
      <c r="W210" s="53" t="e">
        <f>PROYECTOS_DIH[[#This Row],[VALOR DESEMBOLSOS PROYECTO]]/PROYECTOS_DIH[[#This Row],[Valor Proyecto Inicial.]]</f>
        <v>#DIV/0!</v>
      </c>
      <c r="X210" s="54">
        <v>0</v>
      </c>
      <c r="Y210" s="54" t="s">
        <v>1169</v>
      </c>
      <c r="Z210" s="55">
        <v>16400</v>
      </c>
      <c r="AA210" s="57" t="s">
        <v>411</v>
      </c>
      <c r="AB210" s="5" t="s">
        <v>1137</v>
      </c>
      <c r="AC210" s="56" t="s">
        <v>47</v>
      </c>
      <c r="AD210" s="59">
        <v>3.8758024369999999</v>
      </c>
      <c r="AE210" s="59">
        <v>-77.011740200000006</v>
      </c>
      <c r="AF210" s="5" t="s">
        <v>74</v>
      </c>
      <c r="AG210" s="77" t="s">
        <v>75</v>
      </c>
    </row>
    <row r="211" spans="1:33" s="99" customFormat="1" ht="11.4" customHeight="1" x14ac:dyDescent="0.3">
      <c r="A211" s="114" t="s">
        <v>221</v>
      </c>
      <c r="B211" s="43">
        <v>186</v>
      </c>
      <c r="C211" s="94">
        <v>16688</v>
      </c>
      <c r="D211" s="44">
        <v>2024</v>
      </c>
      <c r="E211" s="44" t="s">
        <v>222</v>
      </c>
      <c r="F211" s="45" t="s">
        <v>223</v>
      </c>
      <c r="G211" s="46">
        <v>45558</v>
      </c>
      <c r="H211" s="46">
        <v>46575</v>
      </c>
      <c r="I211" s="45" t="s">
        <v>141</v>
      </c>
      <c r="J211" s="98">
        <v>23068</v>
      </c>
      <c r="K211" s="127" t="s">
        <v>623</v>
      </c>
      <c r="L211" s="8" t="s">
        <v>70</v>
      </c>
      <c r="M211" s="4" t="s">
        <v>225</v>
      </c>
      <c r="N211" s="45" t="s">
        <v>226</v>
      </c>
      <c r="O211" s="45" t="s">
        <v>42</v>
      </c>
      <c r="P211" s="45"/>
      <c r="Q211" s="49" t="s">
        <v>44</v>
      </c>
      <c r="R211" s="117" t="s">
        <v>379</v>
      </c>
      <c r="S211" s="51">
        <v>0</v>
      </c>
      <c r="T211" s="51"/>
      <c r="U211" s="52">
        <v>3956716237</v>
      </c>
      <c r="V211" s="52"/>
      <c r="W211" s="53">
        <f>PROYECTOS_DIH[[#This Row],[VALOR DESEMBOLSOS PROYECTO]]/PROYECTOS_DIH[[#This Row],[Valor Proyecto Inicial.]]</f>
        <v>7.5609693513636724E-3</v>
      </c>
      <c r="X211" s="54">
        <v>29916610.199999999</v>
      </c>
      <c r="Y211" s="54" t="s">
        <v>1169</v>
      </c>
      <c r="Z211" s="55">
        <v>10000</v>
      </c>
      <c r="AA211" s="122" t="s">
        <v>624</v>
      </c>
      <c r="AB211" s="5" t="s">
        <v>1142</v>
      </c>
      <c r="AC211" s="56" t="s">
        <v>62</v>
      </c>
      <c r="AD211" s="59">
        <v>8.3144466290000008</v>
      </c>
      <c r="AE211" s="59">
        <v>-75.146290759999999</v>
      </c>
      <c r="AF211" s="5" t="s">
        <v>145</v>
      </c>
      <c r="AG211" s="71" t="s">
        <v>64</v>
      </c>
    </row>
    <row r="212" spans="1:33" s="99" customFormat="1" ht="11.4" customHeight="1" x14ac:dyDescent="0.3">
      <c r="A212" s="114" t="s">
        <v>221</v>
      </c>
      <c r="B212" s="43">
        <v>101</v>
      </c>
      <c r="C212" s="94">
        <v>16689</v>
      </c>
      <c r="D212" s="44">
        <v>2024</v>
      </c>
      <c r="E212" s="44" t="s">
        <v>222</v>
      </c>
      <c r="F212" s="45" t="s">
        <v>223</v>
      </c>
      <c r="G212" s="46">
        <v>45558</v>
      </c>
      <c r="H212" s="46">
        <v>46575</v>
      </c>
      <c r="I212" s="47" t="s">
        <v>68</v>
      </c>
      <c r="J212" s="48">
        <v>76001</v>
      </c>
      <c r="K212" s="96" t="s">
        <v>445</v>
      </c>
      <c r="L212" s="8" t="s">
        <v>70</v>
      </c>
      <c r="M212" s="4" t="s">
        <v>225</v>
      </c>
      <c r="N212" s="45" t="s">
        <v>226</v>
      </c>
      <c r="O212" s="49" t="s">
        <v>42</v>
      </c>
      <c r="P212" s="49"/>
      <c r="Q212" s="45" t="s">
        <v>120</v>
      </c>
      <c r="R212" s="117" t="s">
        <v>451</v>
      </c>
      <c r="S212" s="51">
        <v>0</v>
      </c>
      <c r="T212" s="51"/>
      <c r="U212" s="118"/>
      <c r="V212" s="118"/>
      <c r="W212" s="53" t="e">
        <f>PROYECTOS_DIH[[#This Row],[VALOR DESEMBOLSOS PROYECTO]]/PROYECTOS_DIH[[#This Row],[Valor Proyecto Inicial.]]</f>
        <v>#DIV/0!</v>
      </c>
      <c r="X212" s="54">
        <v>0</v>
      </c>
      <c r="Y212" s="54" t="s">
        <v>1169</v>
      </c>
      <c r="Z212" s="55">
        <v>16400</v>
      </c>
      <c r="AA212" s="57" t="s">
        <v>452</v>
      </c>
      <c r="AB212" s="5" t="s">
        <v>1137</v>
      </c>
      <c r="AC212" s="56" t="s">
        <v>62</v>
      </c>
      <c r="AD212" s="59">
        <v>3.4144143050000002</v>
      </c>
      <c r="AE212" s="59">
        <v>-76.521565150000001</v>
      </c>
      <c r="AF212" s="5" t="s">
        <v>74</v>
      </c>
      <c r="AG212" s="77" t="s">
        <v>75</v>
      </c>
    </row>
    <row r="213" spans="1:33" s="99" customFormat="1" ht="11.4" customHeight="1" x14ac:dyDescent="0.3">
      <c r="A213" s="15" t="s">
        <v>625</v>
      </c>
      <c r="B213" s="43">
        <v>187</v>
      </c>
      <c r="C213" s="195">
        <v>16692</v>
      </c>
      <c r="D213" s="44">
        <v>2024</v>
      </c>
      <c r="E213" s="44" t="s">
        <v>626</v>
      </c>
      <c r="F213" s="45" t="s">
        <v>627</v>
      </c>
      <c r="G213" s="46">
        <v>45650</v>
      </c>
      <c r="H213" s="46">
        <v>46258</v>
      </c>
      <c r="I213" s="4" t="s">
        <v>88</v>
      </c>
      <c r="J213" s="63">
        <v>52317</v>
      </c>
      <c r="K213" s="4" t="s">
        <v>628</v>
      </c>
      <c r="L213" s="45" t="s">
        <v>39</v>
      </c>
      <c r="M213" s="45" t="s">
        <v>126</v>
      </c>
      <c r="N213" s="140" t="s">
        <v>629</v>
      </c>
      <c r="O213" s="49" t="s">
        <v>42</v>
      </c>
      <c r="P213" s="49"/>
      <c r="Q213" s="49" t="s">
        <v>78</v>
      </c>
      <c r="R213" s="4" t="s">
        <v>630</v>
      </c>
      <c r="S213" s="141">
        <v>1</v>
      </c>
      <c r="T213" s="141"/>
      <c r="U213" s="52">
        <v>595726253</v>
      </c>
      <c r="V213" s="52"/>
      <c r="W213" s="53">
        <v>0.9</v>
      </c>
      <c r="X213" s="54">
        <v>0</v>
      </c>
      <c r="Y213" s="54" t="s">
        <v>1171</v>
      </c>
      <c r="Z213" s="55">
        <v>6246</v>
      </c>
      <c r="AA213" s="142" t="s">
        <v>631</v>
      </c>
      <c r="AB213" s="5" t="s">
        <v>1145</v>
      </c>
      <c r="AC213" s="56" t="s">
        <v>62</v>
      </c>
      <c r="AD213" s="59">
        <v>0.95974348399999998</v>
      </c>
      <c r="AE213" s="59">
        <v>-77.73158986</v>
      </c>
      <c r="AF213" s="5" t="s">
        <v>91</v>
      </c>
      <c r="AG213" s="77" t="s">
        <v>75</v>
      </c>
    </row>
    <row r="214" spans="1:33" s="99" customFormat="1" ht="11.4" customHeight="1" x14ac:dyDescent="0.3">
      <c r="A214" s="15" t="s">
        <v>625</v>
      </c>
      <c r="B214" s="43">
        <v>188</v>
      </c>
      <c r="C214" s="195">
        <v>16693</v>
      </c>
      <c r="D214" s="44">
        <v>2024</v>
      </c>
      <c r="E214" s="44" t="s">
        <v>626</v>
      </c>
      <c r="F214" s="45" t="s">
        <v>627</v>
      </c>
      <c r="G214" s="46">
        <v>45650</v>
      </c>
      <c r="H214" s="46">
        <v>46258</v>
      </c>
      <c r="I214" s="4" t="s">
        <v>88</v>
      </c>
      <c r="J214" s="63">
        <v>52699</v>
      </c>
      <c r="K214" s="4" t="s">
        <v>632</v>
      </c>
      <c r="L214" s="45" t="s">
        <v>39</v>
      </c>
      <c r="M214" s="45" t="s">
        <v>126</v>
      </c>
      <c r="N214" s="140" t="s">
        <v>633</v>
      </c>
      <c r="O214" s="49" t="s">
        <v>42</v>
      </c>
      <c r="P214" s="49"/>
      <c r="Q214" s="49" t="s">
        <v>78</v>
      </c>
      <c r="R214" s="4" t="s">
        <v>630</v>
      </c>
      <c r="S214" s="141">
        <v>1</v>
      </c>
      <c r="T214" s="141"/>
      <c r="U214" s="52">
        <v>596421968</v>
      </c>
      <c r="V214" s="52"/>
      <c r="W214" s="53">
        <v>0.9</v>
      </c>
      <c r="X214" s="54">
        <v>0</v>
      </c>
      <c r="Y214" s="54" t="s">
        <v>1171</v>
      </c>
      <c r="Z214" s="55">
        <v>1683</v>
      </c>
      <c r="AA214" s="142" t="s">
        <v>634</v>
      </c>
      <c r="AB214" s="5" t="s">
        <v>1145</v>
      </c>
      <c r="AC214" s="56" t="s">
        <v>62</v>
      </c>
      <c r="AD214" s="59">
        <v>1.221985919</v>
      </c>
      <c r="AE214" s="59">
        <v>-77.677022239999999</v>
      </c>
      <c r="AF214" s="5" t="s">
        <v>91</v>
      </c>
      <c r="AG214" s="77" t="s">
        <v>75</v>
      </c>
    </row>
    <row r="215" spans="1:33" s="99" customFormat="1" ht="11.4" customHeight="1" x14ac:dyDescent="0.3">
      <c r="A215" s="15" t="s">
        <v>625</v>
      </c>
      <c r="B215" s="43">
        <v>190</v>
      </c>
      <c r="C215" s="195">
        <v>16694</v>
      </c>
      <c r="D215" s="44">
        <v>2024</v>
      </c>
      <c r="E215" s="44" t="s">
        <v>626</v>
      </c>
      <c r="F215" s="45" t="s">
        <v>627</v>
      </c>
      <c r="G215" s="46">
        <v>45650</v>
      </c>
      <c r="H215" s="46">
        <v>46258</v>
      </c>
      <c r="I215" s="4" t="s">
        <v>88</v>
      </c>
      <c r="J215" s="63">
        <v>52210</v>
      </c>
      <c r="K215" s="4" t="s">
        <v>639</v>
      </c>
      <c r="L215" s="45" t="s">
        <v>39</v>
      </c>
      <c r="M215" s="45" t="s">
        <v>126</v>
      </c>
      <c r="N215" s="140" t="s">
        <v>640</v>
      </c>
      <c r="O215" s="49" t="s">
        <v>42</v>
      </c>
      <c r="P215" s="49"/>
      <c r="Q215" s="49" t="s">
        <v>78</v>
      </c>
      <c r="R215" s="4" t="s">
        <v>630</v>
      </c>
      <c r="S215" s="141">
        <v>1</v>
      </c>
      <c r="T215" s="141"/>
      <c r="U215" s="52">
        <v>388493403</v>
      </c>
      <c r="V215" s="52"/>
      <c r="W215" s="53">
        <v>0.9</v>
      </c>
      <c r="X215" s="54">
        <v>0</v>
      </c>
      <c r="Y215" s="54" t="s">
        <v>1171</v>
      </c>
      <c r="Z215" s="55">
        <v>4682</v>
      </c>
      <c r="AA215" s="142" t="s">
        <v>641</v>
      </c>
      <c r="AB215" s="5" t="s">
        <v>1145</v>
      </c>
      <c r="AC215" s="56" t="s">
        <v>62</v>
      </c>
      <c r="AD215" s="59">
        <v>0.91045786299999998</v>
      </c>
      <c r="AE215" s="59">
        <v>-77.549409019999999</v>
      </c>
      <c r="AF215" s="5" t="s">
        <v>91</v>
      </c>
      <c r="AG215" s="77" t="s">
        <v>75</v>
      </c>
    </row>
    <row r="216" spans="1:33" s="99" customFormat="1" ht="11.4" customHeight="1" x14ac:dyDescent="0.3">
      <c r="A216" s="15" t="s">
        <v>625</v>
      </c>
      <c r="B216" s="43">
        <v>191</v>
      </c>
      <c r="C216" s="195">
        <v>16695</v>
      </c>
      <c r="D216" s="44">
        <v>2024</v>
      </c>
      <c r="E216" s="44" t="s">
        <v>626</v>
      </c>
      <c r="F216" s="45" t="s">
        <v>627</v>
      </c>
      <c r="G216" s="46">
        <v>45650</v>
      </c>
      <c r="H216" s="46">
        <v>46258</v>
      </c>
      <c r="I216" s="4" t="s">
        <v>88</v>
      </c>
      <c r="J216" s="63">
        <v>52560</v>
      </c>
      <c r="K216" s="96" t="s">
        <v>642</v>
      </c>
      <c r="L216" s="45" t="s">
        <v>39</v>
      </c>
      <c r="M216" s="45" t="s">
        <v>126</v>
      </c>
      <c r="N216" s="140" t="s">
        <v>643</v>
      </c>
      <c r="O216" s="49" t="s">
        <v>42</v>
      </c>
      <c r="P216" s="49"/>
      <c r="Q216" s="49" t="s">
        <v>78</v>
      </c>
      <c r="R216" s="4" t="s">
        <v>630</v>
      </c>
      <c r="S216" s="141">
        <v>1</v>
      </c>
      <c r="T216" s="141"/>
      <c r="U216" s="52">
        <v>555361201</v>
      </c>
      <c r="V216" s="52"/>
      <c r="W216" s="53">
        <v>0.9</v>
      </c>
      <c r="X216" s="54">
        <v>0</v>
      </c>
      <c r="Y216" s="54" t="s">
        <v>1171</v>
      </c>
      <c r="Z216" s="55">
        <v>3361</v>
      </c>
      <c r="AA216" s="142" t="s">
        <v>644</v>
      </c>
      <c r="AB216" s="5" t="s">
        <v>1145</v>
      </c>
      <c r="AC216" s="56" t="s">
        <v>62</v>
      </c>
      <c r="AD216" s="59">
        <v>0.80634041700000003</v>
      </c>
      <c r="AE216" s="59">
        <v>-77.572791780000003</v>
      </c>
      <c r="AF216" s="5" t="s">
        <v>91</v>
      </c>
      <c r="AG216" s="77" t="s">
        <v>75</v>
      </c>
    </row>
    <row r="217" spans="1:33" s="99" customFormat="1" ht="11.4" customHeight="1" x14ac:dyDescent="0.3">
      <c r="A217" s="15" t="s">
        <v>625</v>
      </c>
      <c r="B217" s="43">
        <v>192</v>
      </c>
      <c r="C217" s="195">
        <v>16697</v>
      </c>
      <c r="D217" s="44">
        <v>2024</v>
      </c>
      <c r="E217" s="44" t="s">
        <v>626</v>
      </c>
      <c r="F217" s="45" t="s">
        <v>627</v>
      </c>
      <c r="G217" s="46">
        <v>45650</v>
      </c>
      <c r="H217" s="46">
        <v>46258</v>
      </c>
      <c r="I217" s="4" t="s">
        <v>88</v>
      </c>
      <c r="J217" s="63">
        <v>52022</v>
      </c>
      <c r="K217" s="4" t="s">
        <v>645</v>
      </c>
      <c r="L217" s="45" t="s">
        <v>39</v>
      </c>
      <c r="M217" s="45" t="s">
        <v>126</v>
      </c>
      <c r="N217" s="140" t="s">
        <v>646</v>
      </c>
      <c r="O217" s="49" t="s">
        <v>42</v>
      </c>
      <c r="P217" s="49"/>
      <c r="Q217" s="49" t="s">
        <v>78</v>
      </c>
      <c r="R217" s="4" t="s">
        <v>630</v>
      </c>
      <c r="S217" s="141">
        <v>1</v>
      </c>
      <c r="T217" s="141"/>
      <c r="U217" s="52">
        <v>595804669</v>
      </c>
      <c r="V217" s="52"/>
      <c r="W217" s="53">
        <v>0.9</v>
      </c>
      <c r="X217" s="54">
        <v>93459554</v>
      </c>
      <c r="Y217" s="54" t="s">
        <v>1171</v>
      </c>
      <c r="Z217" s="55">
        <v>8398</v>
      </c>
      <c r="AA217" s="142" t="s">
        <v>647</v>
      </c>
      <c r="AB217" s="5" t="s">
        <v>1145</v>
      </c>
      <c r="AC217" s="56" t="s">
        <v>62</v>
      </c>
      <c r="AD217" s="59">
        <v>0.88218119500000003</v>
      </c>
      <c r="AE217" s="59">
        <v>-77.700356560000003</v>
      </c>
      <c r="AF217" s="5" t="s">
        <v>91</v>
      </c>
      <c r="AG217" s="77" t="s">
        <v>75</v>
      </c>
    </row>
    <row r="218" spans="1:33" s="99" customFormat="1" ht="11.4" customHeight="1" x14ac:dyDescent="0.3">
      <c r="A218" s="15" t="s">
        <v>625</v>
      </c>
      <c r="B218" s="43">
        <v>193</v>
      </c>
      <c r="C218" s="195">
        <v>16700</v>
      </c>
      <c r="D218" s="44">
        <v>2024</v>
      </c>
      <c r="E218" s="44" t="s">
        <v>626</v>
      </c>
      <c r="F218" s="45" t="s">
        <v>627</v>
      </c>
      <c r="G218" s="46">
        <v>45650</v>
      </c>
      <c r="H218" s="46">
        <v>46258</v>
      </c>
      <c r="I218" s="4" t="s">
        <v>88</v>
      </c>
      <c r="J218" s="63">
        <v>52352</v>
      </c>
      <c r="K218" s="4" t="s">
        <v>648</v>
      </c>
      <c r="L218" s="45" t="s">
        <v>39</v>
      </c>
      <c r="M218" s="45" t="s">
        <v>126</v>
      </c>
      <c r="N218" s="140" t="s">
        <v>649</v>
      </c>
      <c r="O218" s="49" t="s">
        <v>42</v>
      </c>
      <c r="P218" s="49"/>
      <c r="Q218" s="49" t="s">
        <v>78</v>
      </c>
      <c r="R218" s="4" t="s">
        <v>630</v>
      </c>
      <c r="S218" s="141">
        <v>1</v>
      </c>
      <c r="T218" s="141"/>
      <c r="U218" s="52">
        <v>555317105</v>
      </c>
      <c r="V218" s="52"/>
      <c r="W218" s="53">
        <v>0.9</v>
      </c>
      <c r="X218" s="54">
        <v>0</v>
      </c>
      <c r="Y218" s="54" t="s">
        <v>1171</v>
      </c>
      <c r="Z218" s="55">
        <v>1883</v>
      </c>
      <c r="AA218" s="142" t="s">
        <v>650</v>
      </c>
      <c r="AB218" s="5" t="s">
        <v>1145</v>
      </c>
      <c r="AC218" s="56" t="s">
        <v>62</v>
      </c>
      <c r="AD218" s="59">
        <v>0.96920528699999997</v>
      </c>
      <c r="AE218" s="59">
        <v>-77.520975899999996</v>
      </c>
      <c r="AF218" s="5" t="s">
        <v>91</v>
      </c>
      <c r="AG218" s="77" t="s">
        <v>75</v>
      </c>
    </row>
    <row r="219" spans="1:33" s="99" customFormat="1" ht="11.4" customHeight="1" x14ac:dyDescent="0.3">
      <c r="A219" s="15" t="s">
        <v>625</v>
      </c>
      <c r="B219" s="43">
        <v>194</v>
      </c>
      <c r="C219" s="195">
        <v>16701</v>
      </c>
      <c r="D219" s="44">
        <v>2024</v>
      </c>
      <c r="E219" s="44" t="s">
        <v>626</v>
      </c>
      <c r="F219" s="45" t="s">
        <v>627</v>
      </c>
      <c r="G219" s="46">
        <v>45650</v>
      </c>
      <c r="H219" s="46">
        <v>46258</v>
      </c>
      <c r="I219" s="4" t="s">
        <v>88</v>
      </c>
      <c r="J219" s="63">
        <v>52585</v>
      </c>
      <c r="K219" s="4" t="s">
        <v>651</v>
      </c>
      <c r="L219" s="45" t="s">
        <v>39</v>
      </c>
      <c r="M219" s="45" t="s">
        <v>126</v>
      </c>
      <c r="N219" s="140" t="s">
        <v>652</v>
      </c>
      <c r="O219" s="49" t="s">
        <v>42</v>
      </c>
      <c r="P219" s="49"/>
      <c r="Q219" s="49" t="s">
        <v>78</v>
      </c>
      <c r="R219" s="4" t="s">
        <v>630</v>
      </c>
      <c r="S219" s="141">
        <v>1</v>
      </c>
      <c r="T219" s="141"/>
      <c r="U219" s="52">
        <v>557399644</v>
      </c>
      <c r="V219" s="52"/>
      <c r="W219" s="53">
        <v>1</v>
      </c>
      <c r="X219" s="54">
        <v>471008169</v>
      </c>
      <c r="Y219" s="54" t="s">
        <v>1171</v>
      </c>
      <c r="Z219" s="55">
        <v>305</v>
      </c>
      <c r="AA219" s="142" t="s">
        <v>653</v>
      </c>
      <c r="AB219" s="5" t="s">
        <v>1145</v>
      </c>
      <c r="AC219" s="56" t="s">
        <v>62</v>
      </c>
      <c r="AD219" s="59">
        <v>0.867139628</v>
      </c>
      <c r="AE219" s="59">
        <v>-77.633504430000002</v>
      </c>
      <c r="AF219" s="5" t="s">
        <v>91</v>
      </c>
      <c r="AG219" s="77" t="s">
        <v>75</v>
      </c>
    </row>
    <row r="220" spans="1:33" s="99" customFormat="1" ht="11.4" customHeight="1" x14ac:dyDescent="0.3">
      <c r="A220" s="15" t="s">
        <v>625</v>
      </c>
      <c r="B220" s="43">
        <v>195</v>
      </c>
      <c r="C220" s="195">
        <v>16702</v>
      </c>
      <c r="D220" s="44">
        <v>2024</v>
      </c>
      <c r="E220" s="44" t="s">
        <v>626</v>
      </c>
      <c r="F220" s="45" t="s">
        <v>627</v>
      </c>
      <c r="G220" s="46">
        <v>45650</v>
      </c>
      <c r="H220" s="46">
        <v>46258</v>
      </c>
      <c r="I220" s="4" t="s">
        <v>88</v>
      </c>
      <c r="J220" s="63">
        <v>52435</v>
      </c>
      <c r="K220" s="4" t="s">
        <v>654</v>
      </c>
      <c r="L220" s="45" t="s">
        <v>39</v>
      </c>
      <c r="M220" s="45" t="s">
        <v>126</v>
      </c>
      <c r="N220" s="140" t="s">
        <v>655</v>
      </c>
      <c r="O220" s="49" t="s">
        <v>42</v>
      </c>
      <c r="P220" s="49"/>
      <c r="Q220" s="49" t="s">
        <v>78</v>
      </c>
      <c r="R220" s="4" t="s">
        <v>630</v>
      </c>
      <c r="S220" s="141">
        <v>1</v>
      </c>
      <c r="T220" s="141"/>
      <c r="U220" s="52">
        <v>582727274</v>
      </c>
      <c r="V220" s="52"/>
      <c r="W220" s="53">
        <v>1</v>
      </c>
      <c r="X220" s="54">
        <v>311825051</v>
      </c>
      <c r="Y220" s="54" t="s">
        <v>1171</v>
      </c>
      <c r="Z220" s="55">
        <v>252</v>
      </c>
      <c r="AA220" s="142" t="s">
        <v>656</v>
      </c>
      <c r="AB220" s="5" t="s">
        <v>1145</v>
      </c>
      <c r="AC220" s="56" t="s">
        <v>96</v>
      </c>
      <c r="AD220" s="59">
        <v>1.1408389699999999</v>
      </c>
      <c r="AE220" s="59">
        <v>-77.864428290000006</v>
      </c>
      <c r="AF220" s="5" t="s">
        <v>91</v>
      </c>
      <c r="AG220" s="77" t="s">
        <v>75</v>
      </c>
    </row>
    <row r="221" spans="1:33" s="99" customFormat="1" ht="11.4" customHeight="1" x14ac:dyDescent="0.3">
      <c r="A221" s="15" t="s">
        <v>625</v>
      </c>
      <c r="B221" s="43">
        <v>196</v>
      </c>
      <c r="C221" s="195">
        <v>16703</v>
      </c>
      <c r="D221" s="44">
        <v>2024</v>
      </c>
      <c r="E221" s="44" t="s">
        <v>626</v>
      </c>
      <c r="F221" s="45" t="s">
        <v>627</v>
      </c>
      <c r="G221" s="46">
        <v>45650</v>
      </c>
      <c r="H221" s="46">
        <v>46258</v>
      </c>
      <c r="I221" s="4" t="s">
        <v>88</v>
      </c>
      <c r="J221" s="63">
        <v>52287</v>
      </c>
      <c r="K221" s="4" t="s">
        <v>657</v>
      </c>
      <c r="L221" s="45" t="s">
        <v>39</v>
      </c>
      <c r="M221" s="45" t="s">
        <v>126</v>
      </c>
      <c r="N221" s="140" t="s">
        <v>658</v>
      </c>
      <c r="O221" s="49" t="s">
        <v>42</v>
      </c>
      <c r="P221" s="49"/>
      <c r="Q221" s="49" t="s">
        <v>78</v>
      </c>
      <c r="R221" s="4" t="s">
        <v>630</v>
      </c>
      <c r="S221" s="141">
        <v>1</v>
      </c>
      <c r="T221" s="141"/>
      <c r="U221" s="52">
        <v>388795237</v>
      </c>
      <c r="V221" s="52"/>
      <c r="W221" s="53">
        <v>0.9</v>
      </c>
      <c r="X221" s="54">
        <v>190838101</v>
      </c>
      <c r="Y221" s="54" t="s">
        <v>1171</v>
      </c>
      <c r="Z221" s="55">
        <v>949</v>
      </c>
      <c r="AA221" s="142" t="s">
        <v>659</v>
      </c>
      <c r="AB221" s="5" t="s">
        <v>1145</v>
      </c>
      <c r="AC221" s="56" t="s">
        <v>62</v>
      </c>
      <c r="AD221" s="59">
        <v>1.001135181</v>
      </c>
      <c r="AE221" s="59">
        <v>-77.448978600000004</v>
      </c>
      <c r="AF221" s="5" t="s">
        <v>91</v>
      </c>
      <c r="AG221" s="77" t="s">
        <v>75</v>
      </c>
    </row>
    <row r="222" spans="1:33" s="99" customFormat="1" ht="11.4" customHeight="1" x14ac:dyDescent="0.3">
      <c r="A222" s="15" t="s">
        <v>625</v>
      </c>
      <c r="B222" s="43">
        <v>198</v>
      </c>
      <c r="C222" s="195">
        <v>16704</v>
      </c>
      <c r="D222" s="44">
        <v>2024</v>
      </c>
      <c r="E222" s="44" t="s">
        <v>626</v>
      </c>
      <c r="F222" s="45" t="s">
        <v>627</v>
      </c>
      <c r="G222" s="46">
        <v>45650</v>
      </c>
      <c r="H222" s="46">
        <v>46258</v>
      </c>
      <c r="I222" s="4" t="s">
        <v>88</v>
      </c>
      <c r="J222" s="63">
        <v>52001</v>
      </c>
      <c r="K222" s="97" t="s">
        <v>136</v>
      </c>
      <c r="L222" s="45" t="s">
        <v>39</v>
      </c>
      <c r="M222" s="45" t="s">
        <v>126</v>
      </c>
      <c r="N222" s="140" t="s">
        <v>662</v>
      </c>
      <c r="O222" s="49" t="s">
        <v>42</v>
      </c>
      <c r="P222" s="49"/>
      <c r="Q222" s="49" t="s">
        <v>78</v>
      </c>
      <c r="R222" s="4" t="s">
        <v>630</v>
      </c>
      <c r="S222" s="141">
        <v>1</v>
      </c>
      <c r="T222" s="141"/>
      <c r="U222" s="52">
        <v>388686049</v>
      </c>
      <c r="V222" s="52"/>
      <c r="W222" s="53">
        <v>0.9</v>
      </c>
      <c r="X222" s="54">
        <v>0</v>
      </c>
      <c r="Y222" s="54" t="s">
        <v>1171</v>
      </c>
      <c r="Z222" s="55">
        <v>631</v>
      </c>
      <c r="AA222" s="142" t="s">
        <v>663</v>
      </c>
      <c r="AB222" s="5" t="s">
        <v>1145</v>
      </c>
      <c r="AC222" s="56" t="s">
        <v>62</v>
      </c>
      <c r="AD222" s="59">
        <v>1.212124365</v>
      </c>
      <c r="AE222" s="59">
        <v>-77.278576349999994</v>
      </c>
      <c r="AF222" s="5" t="s">
        <v>91</v>
      </c>
      <c r="AG222" s="77" t="s">
        <v>75</v>
      </c>
    </row>
    <row r="223" spans="1:33" s="99" customFormat="1" ht="11.4" customHeight="1" x14ac:dyDescent="0.3">
      <c r="A223" s="15" t="s">
        <v>625</v>
      </c>
      <c r="B223" s="43">
        <v>201</v>
      </c>
      <c r="C223" s="195">
        <v>16705</v>
      </c>
      <c r="D223" s="44">
        <v>2024</v>
      </c>
      <c r="E223" s="44" t="s">
        <v>626</v>
      </c>
      <c r="F223" s="45" t="s">
        <v>627</v>
      </c>
      <c r="G223" s="46">
        <v>45650</v>
      </c>
      <c r="H223" s="46">
        <v>46258</v>
      </c>
      <c r="I223" s="4" t="s">
        <v>88</v>
      </c>
      <c r="J223" s="63">
        <v>52001</v>
      </c>
      <c r="K223" s="97" t="s">
        <v>136</v>
      </c>
      <c r="L223" s="45" t="s">
        <v>39</v>
      </c>
      <c r="M223" s="45" t="s">
        <v>126</v>
      </c>
      <c r="N223" s="140" t="s">
        <v>670</v>
      </c>
      <c r="O223" s="49" t="s">
        <v>42</v>
      </c>
      <c r="P223" s="49"/>
      <c r="Q223" s="49" t="s">
        <v>78</v>
      </c>
      <c r="R223" s="4" t="s">
        <v>630</v>
      </c>
      <c r="S223" s="141">
        <v>1</v>
      </c>
      <c r="T223" s="141"/>
      <c r="U223" s="52">
        <v>388430760</v>
      </c>
      <c r="V223" s="52"/>
      <c r="W223" s="53">
        <v>0.9</v>
      </c>
      <c r="X223" s="54">
        <v>0</v>
      </c>
      <c r="Y223" s="54" t="s">
        <v>1171</v>
      </c>
      <c r="Z223" s="55">
        <v>715</v>
      </c>
      <c r="AA223" s="142" t="s">
        <v>671</v>
      </c>
      <c r="AB223" s="5" t="s">
        <v>1145</v>
      </c>
      <c r="AC223" s="56" t="s">
        <v>62</v>
      </c>
      <c r="AD223" s="59">
        <v>1.212124365</v>
      </c>
      <c r="AE223" s="59">
        <v>-77.278576349999994</v>
      </c>
      <c r="AF223" s="5" t="s">
        <v>91</v>
      </c>
      <c r="AG223" s="77" t="s">
        <v>75</v>
      </c>
    </row>
    <row r="224" spans="1:33" s="99" customFormat="1" ht="11.4" customHeight="1" x14ac:dyDescent="0.3">
      <c r="A224" s="15" t="s">
        <v>625</v>
      </c>
      <c r="B224" s="43">
        <v>202</v>
      </c>
      <c r="C224" s="195">
        <v>16707</v>
      </c>
      <c r="D224" s="44">
        <v>2024</v>
      </c>
      <c r="E224" s="44" t="s">
        <v>626</v>
      </c>
      <c r="F224" s="45" t="s">
        <v>627</v>
      </c>
      <c r="G224" s="46">
        <v>45650</v>
      </c>
      <c r="H224" s="46">
        <v>46258</v>
      </c>
      <c r="I224" s="4" t="s">
        <v>88</v>
      </c>
      <c r="J224" s="63">
        <v>52001</v>
      </c>
      <c r="K224" s="97" t="s">
        <v>136</v>
      </c>
      <c r="L224" s="45" t="s">
        <v>39</v>
      </c>
      <c r="M224" s="45" t="s">
        <v>126</v>
      </c>
      <c r="N224" s="140" t="s">
        <v>672</v>
      </c>
      <c r="O224" s="49" t="s">
        <v>42</v>
      </c>
      <c r="P224" s="49" t="s">
        <v>42</v>
      </c>
      <c r="Q224" s="49" t="s">
        <v>78</v>
      </c>
      <c r="R224" s="4" t="s">
        <v>630</v>
      </c>
      <c r="S224" s="141">
        <v>1</v>
      </c>
      <c r="T224" s="141"/>
      <c r="U224" s="52">
        <v>388706806</v>
      </c>
      <c r="V224" s="52"/>
      <c r="W224" s="53">
        <v>0</v>
      </c>
      <c r="X224" s="54">
        <v>0</v>
      </c>
      <c r="Y224" s="54" t="s">
        <v>1171</v>
      </c>
      <c r="Z224" s="55">
        <v>1561</v>
      </c>
      <c r="AA224" s="142" t="s">
        <v>673</v>
      </c>
      <c r="AB224" s="5" t="s">
        <v>1145</v>
      </c>
      <c r="AC224" s="56" t="s">
        <v>62</v>
      </c>
      <c r="AD224" s="59">
        <v>1.212124365</v>
      </c>
      <c r="AE224" s="59">
        <v>-77.278576349999994</v>
      </c>
      <c r="AF224" s="5" t="s">
        <v>91</v>
      </c>
      <c r="AG224" s="77" t="s">
        <v>75</v>
      </c>
    </row>
    <row r="225" spans="1:33" s="99" customFormat="1" ht="11.4" customHeight="1" x14ac:dyDescent="0.3">
      <c r="A225" s="15" t="s">
        <v>625</v>
      </c>
      <c r="B225" s="43">
        <v>203</v>
      </c>
      <c r="C225" s="195">
        <v>16708</v>
      </c>
      <c r="D225" s="44">
        <v>2024</v>
      </c>
      <c r="E225" s="44" t="s">
        <v>626</v>
      </c>
      <c r="F225" s="45" t="s">
        <v>627</v>
      </c>
      <c r="G225" s="46">
        <v>45650</v>
      </c>
      <c r="H225" s="46">
        <v>46258</v>
      </c>
      <c r="I225" s="4" t="s">
        <v>88</v>
      </c>
      <c r="J225" s="63">
        <v>52227</v>
      </c>
      <c r="K225" s="4" t="s">
        <v>674</v>
      </c>
      <c r="L225" s="45" t="s">
        <v>39</v>
      </c>
      <c r="M225" s="45" t="s">
        <v>126</v>
      </c>
      <c r="N225" s="140" t="s">
        <v>675</v>
      </c>
      <c r="O225" s="49" t="s">
        <v>42</v>
      </c>
      <c r="P225" s="49"/>
      <c r="Q225" s="49" t="s">
        <v>78</v>
      </c>
      <c r="R225" s="4" t="s">
        <v>630</v>
      </c>
      <c r="S225" s="141">
        <v>1</v>
      </c>
      <c r="T225" s="141"/>
      <c r="U225" s="52">
        <v>534218322.22000003</v>
      </c>
      <c r="V225" s="52"/>
      <c r="W225" s="53">
        <v>0.9</v>
      </c>
      <c r="X225" s="54">
        <v>0</v>
      </c>
      <c r="Y225" s="54" t="s">
        <v>1171</v>
      </c>
      <c r="Z225" s="55">
        <v>1890</v>
      </c>
      <c r="AA225" s="142" t="s">
        <v>676</v>
      </c>
      <c r="AB225" s="5" t="s">
        <v>1145</v>
      </c>
      <c r="AC225" s="56" t="s">
        <v>62</v>
      </c>
      <c r="AD225" s="59">
        <v>0.90618536100000002</v>
      </c>
      <c r="AE225" s="59">
        <v>-77.792276619999996</v>
      </c>
      <c r="AF225" s="5" t="s">
        <v>91</v>
      </c>
      <c r="AG225" s="77" t="s">
        <v>75</v>
      </c>
    </row>
    <row r="226" spans="1:33" s="99" customFormat="1" ht="11.4" customHeight="1" x14ac:dyDescent="0.3">
      <c r="A226" s="15" t="s">
        <v>625</v>
      </c>
      <c r="B226" s="43">
        <v>204</v>
      </c>
      <c r="C226" s="195">
        <v>16710</v>
      </c>
      <c r="D226" s="44">
        <v>2024</v>
      </c>
      <c r="E226" s="44" t="s">
        <v>626</v>
      </c>
      <c r="F226" s="45" t="s">
        <v>627</v>
      </c>
      <c r="G226" s="46">
        <v>45650</v>
      </c>
      <c r="H226" s="46">
        <v>46258</v>
      </c>
      <c r="I226" s="4" t="s">
        <v>88</v>
      </c>
      <c r="J226" s="63">
        <v>52788</v>
      </c>
      <c r="K226" s="4" t="s">
        <v>677</v>
      </c>
      <c r="L226" s="45" t="s">
        <v>39</v>
      </c>
      <c r="M226" s="45" t="s">
        <v>126</v>
      </c>
      <c r="N226" s="140" t="s">
        <v>678</v>
      </c>
      <c r="O226" s="49" t="s">
        <v>42</v>
      </c>
      <c r="P226" s="49"/>
      <c r="Q226" s="49" t="s">
        <v>78</v>
      </c>
      <c r="R226" s="4" t="s">
        <v>630</v>
      </c>
      <c r="S226" s="141">
        <v>1</v>
      </c>
      <c r="T226" s="141"/>
      <c r="U226" s="52">
        <v>380000000</v>
      </c>
      <c r="V226" s="52"/>
      <c r="W226" s="53">
        <v>0.86099999999999999</v>
      </c>
      <c r="X226" s="54">
        <v>324403353</v>
      </c>
      <c r="Y226" s="54" t="s">
        <v>1171</v>
      </c>
      <c r="Z226" s="55">
        <v>462</v>
      </c>
      <c r="AA226" s="142" t="s">
        <v>679</v>
      </c>
      <c r="AB226" s="5" t="s">
        <v>1145</v>
      </c>
      <c r="AC226" s="56" t="s">
        <v>62</v>
      </c>
      <c r="AD226" s="59">
        <v>1.0948805150000001</v>
      </c>
      <c r="AE226" s="59">
        <v>-77.392694180000007</v>
      </c>
      <c r="AF226" s="5" t="s">
        <v>91</v>
      </c>
      <c r="AG226" s="77" t="s">
        <v>75</v>
      </c>
    </row>
    <row r="227" spans="1:33" s="99" customFormat="1" ht="11.4" customHeight="1" x14ac:dyDescent="0.3">
      <c r="A227" s="15" t="s">
        <v>625</v>
      </c>
      <c r="B227" s="43">
        <v>205</v>
      </c>
      <c r="C227" s="195">
        <v>16711</v>
      </c>
      <c r="D227" s="44">
        <v>2024</v>
      </c>
      <c r="E227" s="44" t="s">
        <v>626</v>
      </c>
      <c r="F227" s="45" t="s">
        <v>627</v>
      </c>
      <c r="G227" s="46">
        <v>45650</v>
      </c>
      <c r="H227" s="46">
        <v>46258</v>
      </c>
      <c r="I227" s="4" t="s">
        <v>88</v>
      </c>
      <c r="J227" s="63">
        <v>52001</v>
      </c>
      <c r="K227" s="97" t="s">
        <v>136</v>
      </c>
      <c r="L227" s="45" t="s">
        <v>39</v>
      </c>
      <c r="M227" s="45" t="s">
        <v>126</v>
      </c>
      <c r="N227" s="140" t="s">
        <v>680</v>
      </c>
      <c r="O227" s="49" t="s">
        <v>42</v>
      </c>
      <c r="P227" s="49"/>
      <c r="Q227" s="49" t="s">
        <v>78</v>
      </c>
      <c r="R227" s="4" t="s">
        <v>630</v>
      </c>
      <c r="S227" s="141">
        <v>1</v>
      </c>
      <c r="T227" s="141"/>
      <c r="U227" s="52">
        <v>554542015</v>
      </c>
      <c r="V227" s="52"/>
      <c r="W227" s="53">
        <v>0.9</v>
      </c>
      <c r="X227" s="54">
        <v>141643949</v>
      </c>
      <c r="Y227" s="54" t="s">
        <v>1171</v>
      </c>
      <c r="Z227" s="55">
        <v>4099</v>
      </c>
      <c r="AA227" s="142" t="s">
        <v>681</v>
      </c>
      <c r="AB227" s="5" t="s">
        <v>1145</v>
      </c>
      <c r="AC227" s="56" t="s">
        <v>62</v>
      </c>
      <c r="AD227" s="59">
        <v>1.212124365</v>
      </c>
      <c r="AE227" s="59">
        <v>-77.278576349999994</v>
      </c>
      <c r="AF227" s="5" t="s">
        <v>91</v>
      </c>
      <c r="AG227" s="77" t="s">
        <v>75</v>
      </c>
    </row>
    <row r="228" spans="1:33" s="99" customFormat="1" ht="11.4" customHeight="1" x14ac:dyDescent="0.3">
      <c r="A228" s="15" t="s">
        <v>625</v>
      </c>
      <c r="B228" s="43">
        <v>206</v>
      </c>
      <c r="C228" s="195">
        <v>16712</v>
      </c>
      <c r="D228" s="44">
        <v>2024</v>
      </c>
      <c r="E228" s="44" t="s">
        <v>626</v>
      </c>
      <c r="F228" s="45" t="s">
        <v>627</v>
      </c>
      <c r="G228" s="46">
        <v>45650</v>
      </c>
      <c r="H228" s="46">
        <v>46258</v>
      </c>
      <c r="I228" s="4" t="s">
        <v>88</v>
      </c>
      <c r="J228" s="63">
        <v>52227</v>
      </c>
      <c r="K228" s="4" t="s">
        <v>674</v>
      </c>
      <c r="L228" s="45" t="s">
        <v>39</v>
      </c>
      <c r="M228" s="45" t="s">
        <v>126</v>
      </c>
      <c r="N228" s="140" t="s">
        <v>682</v>
      </c>
      <c r="O228" s="49" t="s">
        <v>42</v>
      </c>
      <c r="P228" s="49"/>
      <c r="Q228" s="49" t="s">
        <v>78</v>
      </c>
      <c r="R228" s="4" t="s">
        <v>630</v>
      </c>
      <c r="S228" s="141">
        <v>1</v>
      </c>
      <c r="T228" s="141"/>
      <c r="U228" s="52">
        <v>542727273</v>
      </c>
      <c r="V228" s="52"/>
      <c r="W228" s="53">
        <v>0.89</v>
      </c>
      <c r="X228" s="54">
        <v>488112803</v>
      </c>
      <c r="Y228" s="54" t="s">
        <v>1171</v>
      </c>
      <c r="Z228" s="55">
        <v>1112</v>
      </c>
      <c r="AA228" s="142" t="s">
        <v>683</v>
      </c>
      <c r="AB228" s="5" t="s">
        <v>1145</v>
      </c>
      <c r="AC228" s="56" t="s">
        <v>62</v>
      </c>
      <c r="AD228" s="59">
        <v>0.90618536100000002</v>
      </c>
      <c r="AE228" s="59">
        <v>-77.792276619999996</v>
      </c>
      <c r="AF228" s="5" t="s">
        <v>91</v>
      </c>
      <c r="AG228" s="77" t="s">
        <v>75</v>
      </c>
    </row>
    <row r="229" spans="1:33" s="99" customFormat="1" ht="11.4" customHeight="1" x14ac:dyDescent="0.3">
      <c r="A229" s="15" t="s">
        <v>625</v>
      </c>
      <c r="B229" s="43">
        <v>207</v>
      </c>
      <c r="C229" s="195">
        <v>16713</v>
      </c>
      <c r="D229" s="44">
        <v>2024</v>
      </c>
      <c r="E229" s="44" t="s">
        <v>626</v>
      </c>
      <c r="F229" s="45" t="s">
        <v>627</v>
      </c>
      <c r="G229" s="46">
        <v>45650</v>
      </c>
      <c r="H229" s="46">
        <v>46258</v>
      </c>
      <c r="I229" s="4" t="s">
        <v>88</v>
      </c>
      <c r="J229" s="63">
        <v>52215</v>
      </c>
      <c r="K229" s="97" t="s">
        <v>141</v>
      </c>
      <c r="L229" s="45" t="s">
        <v>39</v>
      </c>
      <c r="M229" s="45" t="s">
        <v>126</v>
      </c>
      <c r="N229" s="140" t="s">
        <v>684</v>
      </c>
      <c r="O229" s="49" t="s">
        <v>42</v>
      </c>
      <c r="P229" s="49"/>
      <c r="Q229" s="49" t="s">
        <v>78</v>
      </c>
      <c r="R229" s="4" t="s">
        <v>630</v>
      </c>
      <c r="S229" s="141">
        <v>1</v>
      </c>
      <c r="T229" s="141"/>
      <c r="U229" s="52">
        <v>754364227.42999995</v>
      </c>
      <c r="V229" s="52"/>
      <c r="W229" s="53">
        <v>1</v>
      </c>
      <c r="X229" s="54">
        <v>678927805</v>
      </c>
      <c r="Y229" s="54" t="s">
        <v>1171</v>
      </c>
      <c r="Z229" s="55">
        <v>2500</v>
      </c>
      <c r="AA229" s="142" t="s">
        <v>685</v>
      </c>
      <c r="AB229" s="5" t="s">
        <v>1145</v>
      </c>
      <c r="AC229" s="56" t="s">
        <v>62</v>
      </c>
      <c r="AD229" s="59">
        <v>0.85456441800000005</v>
      </c>
      <c r="AE229" s="59">
        <v>-77.517896559999997</v>
      </c>
      <c r="AF229" s="5" t="s">
        <v>91</v>
      </c>
      <c r="AG229" s="77" t="s">
        <v>75</v>
      </c>
    </row>
    <row r="230" spans="1:33" s="99" customFormat="1" ht="11.4" customHeight="1" x14ac:dyDescent="0.3">
      <c r="A230" s="1" t="s">
        <v>34</v>
      </c>
      <c r="B230" s="43">
        <v>208</v>
      </c>
      <c r="C230" s="191">
        <v>16745</v>
      </c>
      <c r="D230" s="19">
        <v>2026</v>
      </c>
      <c r="E230" s="44" t="s">
        <v>35</v>
      </c>
      <c r="F230" s="45" t="s">
        <v>36</v>
      </c>
      <c r="G230" s="46">
        <v>45653</v>
      </c>
      <c r="H230" s="46">
        <v>46441</v>
      </c>
      <c r="I230" s="112" t="s">
        <v>105</v>
      </c>
      <c r="J230" s="48">
        <v>68079</v>
      </c>
      <c r="K230" s="112" t="s">
        <v>686</v>
      </c>
      <c r="L230" s="112" t="s">
        <v>39</v>
      </c>
      <c r="M230" s="112" t="s">
        <v>212</v>
      </c>
      <c r="N230" s="112" t="s">
        <v>687</v>
      </c>
      <c r="O230" s="45" t="s">
        <v>42</v>
      </c>
      <c r="P230" s="49"/>
      <c r="Q230" s="45" t="s">
        <v>44</v>
      </c>
      <c r="R230" s="125" t="s">
        <v>214</v>
      </c>
      <c r="S230" s="51">
        <v>0</v>
      </c>
      <c r="T230" s="51"/>
      <c r="U230" s="113">
        <v>5736352989.0900002</v>
      </c>
      <c r="V230" s="113"/>
      <c r="W230" s="79">
        <f>PROYECTOS_DIH[[#This Row],[VALOR DESEMBOLSOS PROYECTO]]/PROYECTOS_DIH[[#This Row],[Valor Proyecto Inicial.]]</f>
        <v>0</v>
      </c>
      <c r="X230" s="54"/>
      <c r="Y230" s="54" t="s">
        <v>1180</v>
      </c>
      <c r="Z230" s="92">
        <v>11931</v>
      </c>
      <c r="AA230" s="57" t="s">
        <v>215</v>
      </c>
      <c r="AB230" s="5" t="s">
        <v>1154</v>
      </c>
      <c r="AC230" s="56" t="s">
        <v>62</v>
      </c>
      <c r="AD230" s="59">
        <v>6.6342292729999999</v>
      </c>
      <c r="AE230" s="59">
        <v>-73.223099329999997</v>
      </c>
      <c r="AF230" s="5" t="s">
        <v>109</v>
      </c>
      <c r="AG230" s="93" t="s">
        <v>110</v>
      </c>
    </row>
    <row r="231" spans="1:33" s="99" customFormat="1" ht="11.4" customHeight="1" x14ac:dyDescent="0.3">
      <c r="A231" s="1" t="s">
        <v>34</v>
      </c>
      <c r="B231" s="43">
        <v>209</v>
      </c>
      <c r="C231" s="193">
        <v>16766</v>
      </c>
      <c r="D231" s="19">
        <v>2024</v>
      </c>
      <c r="E231" s="44" t="s">
        <v>35</v>
      </c>
      <c r="F231" s="45" t="s">
        <v>36</v>
      </c>
      <c r="G231" s="46">
        <v>45653</v>
      </c>
      <c r="H231" s="46">
        <v>46441</v>
      </c>
      <c r="I231" s="47" t="s">
        <v>37</v>
      </c>
      <c r="J231" s="145">
        <v>27006</v>
      </c>
      <c r="K231" s="4" t="s">
        <v>688</v>
      </c>
      <c r="L231" s="4" t="s">
        <v>77</v>
      </c>
      <c r="M231" s="62" t="s">
        <v>26</v>
      </c>
      <c r="N231" s="4" t="s">
        <v>689</v>
      </c>
      <c r="O231" s="49" t="s">
        <v>42</v>
      </c>
      <c r="P231" s="49" t="s">
        <v>132</v>
      </c>
      <c r="Q231" s="49" t="s">
        <v>44</v>
      </c>
      <c r="R231" s="50" t="s">
        <v>690</v>
      </c>
      <c r="S231" s="51">
        <v>0</v>
      </c>
      <c r="T231" s="51"/>
      <c r="U231" s="52">
        <v>828100000</v>
      </c>
      <c r="V231" s="52"/>
      <c r="W231" s="53">
        <f>PROYECTOS_DIH[[#This Row],[VALOR DESEMBOLSOS PROYECTO]]/PROYECTOS_DIH[[#This Row],[Valor Proyecto Inicial.]]</f>
        <v>0</v>
      </c>
      <c r="X231" s="54">
        <v>0</v>
      </c>
      <c r="Y231" s="54" t="s">
        <v>1180</v>
      </c>
      <c r="Z231" s="55">
        <v>105</v>
      </c>
      <c r="AA231" s="57" t="s">
        <v>691</v>
      </c>
      <c r="AB231" s="5" t="s">
        <v>1141</v>
      </c>
      <c r="AC231" s="56" t="s">
        <v>47</v>
      </c>
      <c r="AD231" s="59">
        <v>8.5114059520000005</v>
      </c>
      <c r="AE231" s="59">
        <v>-77.28009788</v>
      </c>
      <c r="AF231" s="5" t="s">
        <v>48</v>
      </c>
      <c r="AG231" s="60" t="s">
        <v>49</v>
      </c>
    </row>
    <row r="232" spans="1:33" s="99" customFormat="1" ht="11.4" customHeight="1" x14ac:dyDescent="0.3">
      <c r="A232" s="1" t="s">
        <v>34</v>
      </c>
      <c r="B232" s="43">
        <v>210</v>
      </c>
      <c r="C232" s="191">
        <v>16767</v>
      </c>
      <c r="D232" s="19">
        <v>2024</v>
      </c>
      <c r="E232" s="44" t="s">
        <v>35</v>
      </c>
      <c r="F232" s="45" t="s">
        <v>36</v>
      </c>
      <c r="G232" s="46">
        <v>45653</v>
      </c>
      <c r="H232" s="46">
        <v>46441</v>
      </c>
      <c r="I232" s="8" t="s">
        <v>124</v>
      </c>
      <c r="J232" s="78">
        <v>66456</v>
      </c>
      <c r="K232" s="96" t="s">
        <v>692</v>
      </c>
      <c r="L232" s="45" t="s">
        <v>55</v>
      </c>
      <c r="M232" s="62" t="s">
        <v>693</v>
      </c>
      <c r="N232" s="4" t="s">
        <v>694</v>
      </c>
      <c r="O232" s="49" t="s">
        <v>42</v>
      </c>
      <c r="P232" s="49" t="s">
        <v>132</v>
      </c>
      <c r="Q232" s="49" t="s">
        <v>44</v>
      </c>
      <c r="R232" s="50" t="s">
        <v>695</v>
      </c>
      <c r="S232" s="51">
        <v>0</v>
      </c>
      <c r="T232" s="51"/>
      <c r="U232" s="113">
        <v>1200000000</v>
      </c>
      <c r="V232" s="113"/>
      <c r="W232" s="53">
        <f>PROYECTOS_DIH[[#This Row],[VALOR DESEMBOLSOS PROYECTO]]/PROYECTOS_DIH[[#This Row],[Valor Proyecto Inicial.]]</f>
        <v>0</v>
      </c>
      <c r="X232" s="54">
        <v>0</v>
      </c>
      <c r="Y232" s="54" t="s">
        <v>1180</v>
      </c>
      <c r="Z232" s="55">
        <v>20000</v>
      </c>
      <c r="AA232" s="57" t="s">
        <v>696</v>
      </c>
      <c r="AB232" s="5" t="s">
        <v>1135</v>
      </c>
      <c r="AC232" s="56" t="s">
        <v>96</v>
      </c>
      <c r="AD232" s="59">
        <v>5.2970590609999997</v>
      </c>
      <c r="AE232" s="59">
        <v>-75.882860469999997</v>
      </c>
      <c r="AF232" s="5" t="s">
        <v>129</v>
      </c>
      <c r="AG232" s="60" t="s">
        <v>49</v>
      </c>
    </row>
    <row r="233" spans="1:33" s="99" customFormat="1" ht="11.4" customHeight="1" x14ac:dyDescent="0.3">
      <c r="A233" s="1" t="s">
        <v>34</v>
      </c>
      <c r="B233" s="43">
        <v>211</v>
      </c>
      <c r="C233" s="191">
        <v>16770</v>
      </c>
      <c r="D233" s="19">
        <v>2024</v>
      </c>
      <c r="E233" s="44" t="s">
        <v>35</v>
      </c>
      <c r="F233" s="45" t="s">
        <v>36</v>
      </c>
      <c r="G233" s="46">
        <v>45653</v>
      </c>
      <c r="H233" s="46">
        <v>46441</v>
      </c>
      <c r="I233" s="8" t="s">
        <v>124</v>
      </c>
      <c r="J233" s="78">
        <v>66572</v>
      </c>
      <c r="K233" s="4" t="s">
        <v>697</v>
      </c>
      <c r="L233" s="45" t="s">
        <v>55</v>
      </c>
      <c r="M233" s="62" t="s">
        <v>693</v>
      </c>
      <c r="N233" s="4" t="s">
        <v>698</v>
      </c>
      <c r="O233" s="49" t="s">
        <v>42</v>
      </c>
      <c r="P233" s="49" t="s">
        <v>132</v>
      </c>
      <c r="Q233" s="49" t="s">
        <v>44</v>
      </c>
      <c r="R233" s="50" t="s">
        <v>699</v>
      </c>
      <c r="S233" s="51">
        <v>0</v>
      </c>
      <c r="T233" s="51"/>
      <c r="U233" s="113">
        <v>1200000000</v>
      </c>
      <c r="V233" s="113"/>
      <c r="W233" s="53">
        <f>PROYECTOS_DIH[[#This Row],[VALOR DESEMBOLSOS PROYECTO]]/PROYECTOS_DIH[[#This Row],[Valor Proyecto Inicial.]]</f>
        <v>0</v>
      </c>
      <c r="X233" s="54">
        <v>0</v>
      </c>
      <c r="Y233" s="54" t="s">
        <v>1180</v>
      </c>
      <c r="Z233" s="55">
        <v>30000</v>
      </c>
      <c r="AA233" s="57" t="s">
        <v>700</v>
      </c>
      <c r="AB233" s="5" t="s">
        <v>1135</v>
      </c>
      <c r="AC233" s="56" t="s">
        <v>96</v>
      </c>
      <c r="AD233" s="59">
        <v>5.2219121040000003</v>
      </c>
      <c r="AE233" s="59">
        <v>-76.030668149999997</v>
      </c>
      <c r="AF233" s="5" t="s">
        <v>129</v>
      </c>
      <c r="AG233" s="60" t="s">
        <v>49</v>
      </c>
    </row>
    <row r="234" spans="1:33" s="99" customFormat="1" ht="11.4" customHeight="1" x14ac:dyDescent="0.2">
      <c r="A234" s="1" t="s">
        <v>34</v>
      </c>
      <c r="B234" s="43">
        <v>212</v>
      </c>
      <c r="C234" s="191">
        <v>16772</v>
      </c>
      <c r="D234" s="19">
        <v>2024</v>
      </c>
      <c r="E234" s="44" t="s">
        <v>35</v>
      </c>
      <c r="F234" s="45" t="s">
        <v>36</v>
      </c>
      <c r="G234" s="46">
        <v>45653</v>
      </c>
      <c r="H234" s="46">
        <v>46441</v>
      </c>
      <c r="I234" s="47" t="s">
        <v>268</v>
      </c>
      <c r="J234" s="48">
        <v>19050</v>
      </c>
      <c r="K234" s="146" t="s">
        <v>280</v>
      </c>
      <c r="L234" s="8" t="s">
        <v>70</v>
      </c>
      <c r="M234" s="62" t="s">
        <v>701</v>
      </c>
      <c r="N234" s="4" t="s">
        <v>702</v>
      </c>
      <c r="O234" s="49" t="s">
        <v>42</v>
      </c>
      <c r="P234" s="49" t="s">
        <v>43</v>
      </c>
      <c r="Q234" s="49" t="s">
        <v>44</v>
      </c>
      <c r="R234" s="50" t="s">
        <v>703</v>
      </c>
      <c r="S234" s="51">
        <v>0</v>
      </c>
      <c r="T234" s="51"/>
      <c r="U234" s="113">
        <v>9000000000</v>
      </c>
      <c r="V234" s="113"/>
      <c r="W234" s="53">
        <f>PROYECTOS_DIH[[#This Row],[VALOR DESEMBOLSOS PROYECTO]]/PROYECTOS_DIH[[#This Row],[Valor Proyecto Inicial.]]</f>
        <v>0</v>
      </c>
      <c r="X234" s="54">
        <v>0</v>
      </c>
      <c r="Y234" s="54" t="s">
        <v>1180</v>
      </c>
      <c r="Z234" s="55">
        <v>8000</v>
      </c>
      <c r="AA234" s="57" t="s">
        <v>704</v>
      </c>
      <c r="AB234" s="5" t="s">
        <v>1138</v>
      </c>
      <c r="AC234" s="56" t="s">
        <v>47</v>
      </c>
      <c r="AD234" s="59">
        <v>2.2567549090000001</v>
      </c>
      <c r="AE234" s="59">
        <v>-77.249450280000005</v>
      </c>
      <c r="AF234" s="5" t="s">
        <v>272</v>
      </c>
      <c r="AG234" s="106" t="s">
        <v>75</v>
      </c>
    </row>
    <row r="235" spans="1:33" s="99" customFormat="1" ht="11.4" customHeight="1" x14ac:dyDescent="0.3">
      <c r="A235" s="1" t="s">
        <v>34</v>
      </c>
      <c r="B235" s="43">
        <v>213</v>
      </c>
      <c r="C235" s="191">
        <v>16773</v>
      </c>
      <c r="D235" s="19">
        <v>2024</v>
      </c>
      <c r="E235" s="44" t="s">
        <v>35</v>
      </c>
      <c r="F235" s="45" t="s">
        <v>36</v>
      </c>
      <c r="G235" s="46">
        <v>45653</v>
      </c>
      <c r="H235" s="46">
        <v>46441</v>
      </c>
      <c r="I235" s="47" t="s">
        <v>268</v>
      </c>
      <c r="J235" s="145">
        <v>19050</v>
      </c>
      <c r="K235" s="127" t="s">
        <v>280</v>
      </c>
      <c r="L235" s="4" t="s">
        <v>77</v>
      </c>
      <c r="M235" s="4" t="s">
        <v>26</v>
      </c>
      <c r="N235" s="4" t="s">
        <v>705</v>
      </c>
      <c r="O235" s="49" t="s">
        <v>42</v>
      </c>
      <c r="P235" s="49" t="s">
        <v>132</v>
      </c>
      <c r="Q235" s="49" t="s">
        <v>44</v>
      </c>
      <c r="R235" s="50" t="s">
        <v>699</v>
      </c>
      <c r="S235" s="51">
        <v>0</v>
      </c>
      <c r="T235" s="51"/>
      <c r="U235" s="113">
        <v>6084000000</v>
      </c>
      <c r="V235" s="113"/>
      <c r="W235" s="53">
        <f>PROYECTOS_DIH[[#This Row],[VALOR DESEMBOLSOS PROYECTO]]/PROYECTOS_DIH[[#This Row],[Valor Proyecto Inicial.]]</f>
        <v>0</v>
      </c>
      <c r="X235" s="54">
        <v>0</v>
      </c>
      <c r="Y235" s="54" t="s">
        <v>1180</v>
      </c>
      <c r="Z235" s="55">
        <v>600</v>
      </c>
      <c r="AA235" s="57" t="s">
        <v>706</v>
      </c>
      <c r="AB235" s="5" t="s">
        <v>1138</v>
      </c>
      <c r="AC235" s="56" t="s">
        <v>47</v>
      </c>
      <c r="AD235" s="59">
        <v>2.2567549090000001</v>
      </c>
      <c r="AE235" s="59">
        <v>-77.249450280000005</v>
      </c>
      <c r="AF235" s="5" t="s">
        <v>272</v>
      </c>
      <c r="AG235" s="71" t="s">
        <v>75</v>
      </c>
    </row>
    <row r="236" spans="1:33" s="99" customFormat="1" ht="11.4" customHeight="1" x14ac:dyDescent="0.3">
      <c r="A236" s="1" t="s">
        <v>34</v>
      </c>
      <c r="B236" s="43">
        <v>214</v>
      </c>
      <c r="C236" s="191">
        <v>16774</v>
      </c>
      <c r="D236" s="19">
        <v>2024</v>
      </c>
      <c r="E236" s="44" t="s">
        <v>35</v>
      </c>
      <c r="F236" s="45" t="s">
        <v>36</v>
      </c>
      <c r="G236" s="46">
        <v>45653</v>
      </c>
      <c r="H236" s="46">
        <v>46441</v>
      </c>
      <c r="I236" s="47" t="s">
        <v>377</v>
      </c>
      <c r="J236" s="48">
        <v>86885</v>
      </c>
      <c r="K236" s="4" t="s">
        <v>707</v>
      </c>
      <c r="L236" s="45" t="s">
        <v>55</v>
      </c>
      <c r="M236" s="62" t="s">
        <v>693</v>
      </c>
      <c r="N236" s="4" t="s">
        <v>708</v>
      </c>
      <c r="O236" s="49" t="s">
        <v>42</v>
      </c>
      <c r="P236" s="49" t="s">
        <v>132</v>
      </c>
      <c r="Q236" s="49" t="s">
        <v>44</v>
      </c>
      <c r="R236" s="50" t="s">
        <v>699</v>
      </c>
      <c r="S236" s="51">
        <v>0</v>
      </c>
      <c r="T236" s="51"/>
      <c r="U236" s="113">
        <v>350000000</v>
      </c>
      <c r="V236" s="113"/>
      <c r="W236" s="53">
        <f>PROYECTOS_DIH[[#This Row],[VALOR DESEMBOLSOS PROYECTO]]/PROYECTOS_DIH[[#This Row],[Valor Proyecto Inicial.]]</f>
        <v>0</v>
      </c>
      <c r="X236" s="54">
        <v>0</v>
      </c>
      <c r="Y236" s="54" t="s">
        <v>1180</v>
      </c>
      <c r="Z236" s="55">
        <v>10000</v>
      </c>
      <c r="AA236" s="57" t="s">
        <v>709</v>
      </c>
      <c r="AB236" s="5" t="s">
        <v>1150</v>
      </c>
      <c r="AC236" s="56" t="s">
        <v>47</v>
      </c>
      <c r="AD236" s="59">
        <v>1.028941012</v>
      </c>
      <c r="AE236" s="59">
        <v>-76.617162469999997</v>
      </c>
      <c r="AF236" s="5" t="s">
        <v>381</v>
      </c>
      <c r="AG236" s="81" t="s">
        <v>80</v>
      </c>
    </row>
    <row r="237" spans="1:33" s="99" customFormat="1" ht="11.4" customHeight="1" x14ac:dyDescent="0.3">
      <c r="A237" s="1" t="s">
        <v>34</v>
      </c>
      <c r="B237" s="43">
        <v>215</v>
      </c>
      <c r="C237" s="191">
        <v>16775</v>
      </c>
      <c r="D237" s="19">
        <v>2024</v>
      </c>
      <c r="E237" s="44" t="s">
        <v>35</v>
      </c>
      <c r="F237" s="45" t="s">
        <v>36</v>
      </c>
      <c r="G237" s="46">
        <v>45653</v>
      </c>
      <c r="H237" s="46">
        <v>46441</v>
      </c>
      <c r="I237" s="47" t="s">
        <v>37</v>
      </c>
      <c r="J237" s="145">
        <v>27077</v>
      </c>
      <c r="K237" s="4" t="s">
        <v>710</v>
      </c>
      <c r="L237" s="4" t="s">
        <v>77</v>
      </c>
      <c r="M237" s="4" t="s">
        <v>26</v>
      </c>
      <c r="N237" s="4" t="s">
        <v>711</v>
      </c>
      <c r="O237" s="49" t="s">
        <v>42</v>
      </c>
      <c r="P237" s="49" t="s">
        <v>132</v>
      </c>
      <c r="Q237" s="49" t="s">
        <v>44</v>
      </c>
      <c r="R237" s="50" t="s">
        <v>699</v>
      </c>
      <c r="S237" s="51">
        <v>0</v>
      </c>
      <c r="T237" s="51"/>
      <c r="U237" s="113">
        <v>5475600000</v>
      </c>
      <c r="V237" s="113"/>
      <c r="W237" s="53">
        <f>PROYECTOS_DIH[[#This Row],[VALOR DESEMBOLSOS PROYECTO]]/PROYECTOS_DIH[[#This Row],[Valor Proyecto Inicial.]]</f>
        <v>0</v>
      </c>
      <c r="X237" s="54">
        <v>0</v>
      </c>
      <c r="Y237" s="54" t="s">
        <v>1180</v>
      </c>
      <c r="Z237" s="55">
        <v>540</v>
      </c>
      <c r="AA237" s="57" t="s">
        <v>712</v>
      </c>
      <c r="AB237" s="5" t="s">
        <v>1153</v>
      </c>
      <c r="AC237" s="56" t="s">
        <v>96</v>
      </c>
      <c r="AD237" s="59">
        <v>4.9546266719999998</v>
      </c>
      <c r="AE237" s="59">
        <v>-77.365409990000003</v>
      </c>
      <c r="AF237" s="5" t="s">
        <v>330</v>
      </c>
      <c r="AG237" s="77" t="s">
        <v>75</v>
      </c>
    </row>
    <row r="238" spans="1:33" s="99" customFormat="1" ht="11.4" customHeight="1" x14ac:dyDescent="0.3">
      <c r="A238" s="1" t="s">
        <v>34</v>
      </c>
      <c r="B238" s="43">
        <v>216</v>
      </c>
      <c r="C238" s="191">
        <v>16777</v>
      </c>
      <c r="D238" s="19">
        <v>2024</v>
      </c>
      <c r="E238" s="44" t="s">
        <v>35</v>
      </c>
      <c r="F238" s="45" t="s">
        <v>36</v>
      </c>
      <c r="G238" s="46">
        <v>45653</v>
      </c>
      <c r="H238" s="46">
        <v>46441</v>
      </c>
      <c r="I238" s="8" t="s">
        <v>88</v>
      </c>
      <c r="J238" s="78">
        <v>52079</v>
      </c>
      <c r="K238" s="8" t="s">
        <v>258</v>
      </c>
      <c r="L238" s="4" t="s">
        <v>55</v>
      </c>
      <c r="M238" s="62" t="s">
        <v>713</v>
      </c>
      <c r="N238" s="4" t="s">
        <v>714</v>
      </c>
      <c r="O238" s="49" t="s">
        <v>42</v>
      </c>
      <c r="P238" s="49" t="s">
        <v>132</v>
      </c>
      <c r="Q238" s="49" t="s">
        <v>44</v>
      </c>
      <c r="R238" s="50" t="s">
        <v>699</v>
      </c>
      <c r="S238" s="51">
        <v>0</v>
      </c>
      <c r="T238" s="51"/>
      <c r="U238" s="113">
        <v>1032497262</v>
      </c>
      <c r="V238" s="113"/>
      <c r="W238" s="53">
        <f>PROYECTOS_DIH[[#This Row],[VALOR DESEMBOLSOS PROYECTO]]/PROYECTOS_DIH[[#This Row],[Valor Proyecto Inicial.]]</f>
        <v>0</v>
      </c>
      <c r="X238" s="54">
        <v>0</v>
      </c>
      <c r="Y238" s="54" t="s">
        <v>1180</v>
      </c>
      <c r="Z238" s="55">
        <v>10000</v>
      </c>
      <c r="AA238" s="57" t="s">
        <v>715</v>
      </c>
      <c r="AB238" s="5" t="s">
        <v>1145</v>
      </c>
      <c r="AC238" s="56" t="s">
        <v>47</v>
      </c>
      <c r="AD238" s="59">
        <v>1.670345194</v>
      </c>
      <c r="AE238" s="59">
        <v>-78.139894929999997</v>
      </c>
      <c r="AF238" s="5" t="s">
        <v>91</v>
      </c>
      <c r="AG238" s="77" t="s">
        <v>75</v>
      </c>
    </row>
    <row r="239" spans="1:33" s="99" customFormat="1" ht="11.4" customHeight="1" x14ac:dyDescent="0.3">
      <c r="A239" s="1" t="s">
        <v>34</v>
      </c>
      <c r="B239" s="43">
        <v>218</v>
      </c>
      <c r="C239" s="191">
        <v>16778</v>
      </c>
      <c r="D239" s="19">
        <v>2024</v>
      </c>
      <c r="E239" s="44" t="s">
        <v>35</v>
      </c>
      <c r="F239" s="45" t="s">
        <v>36</v>
      </c>
      <c r="G239" s="46">
        <v>45653</v>
      </c>
      <c r="H239" s="46">
        <v>46441</v>
      </c>
      <c r="I239" s="47" t="s">
        <v>37</v>
      </c>
      <c r="J239" s="48">
        <v>27600</v>
      </c>
      <c r="K239" s="96" t="s">
        <v>327</v>
      </c>
      <c r="L239" s="8" t="s">
        <v>70</v>
      </c>
      <c r="M239" s="62" t="s">
        <v>717</v>
      </c>
      <c r="N239" s="4" t="s">
        <v>718</v>
      </c>
      <c r="O239" s="49" t="s">
        <v>42</v>
      </c>
      <c r="P239" s="49" t="s">
        <v>132</v>
      </c>
      <c r="Q239" s="49" t="s">
        <v>44</v>
      </c>
      <c r="R239" s="50" t="s">
        <v>699</v>
      </c>
      <c r="S239" s="51">
        <v>0</v>
      </c>
      <c r="T239" s="51"/>
      <c r="U239" s="113">
        <v>2034268886</v>
      </c>
      <c r="V239" s="113"/>
      <c r="W239" s="53">
        <f>PROYECTOS_DIH[[#This Row],[VALOR DESEMBOLSOS PROYECTO]]/PROYECTOS_DIH[[#This Row],[Valor Proyecto Inicial.]]</f>
        <v>0</v>
      </c>
      <c r="X239" s="54">
        <v>0</v>
      </c>
      <c r="Y239" s="54" t="s">
        <v>1180</v>
      </c>
      <c r="Z239" s="55">
        <v>8000</v>
      </c>
      <c r="AA239" s="57" t="s">
        <v>719</v>
      </c>
      <c r="AB239" s="5" t="s">
        <v>1153</v>
      </c>
      <c r="AC239" s="56" t="s">
        <v>62</v>
      </c>
      <c r="AD239" s="59">
        <v>5.483727751</v>
      </c>
      <c r="AE239" s="59">
        <v>-76.741016560000006</v>
      </c>
      <c r="AF239" s="5" t="s">
        <v>330</v>
      </c>
      <c r="AG239" s="77" t="s">
        <v>75</v>
      </c>
    </row>
    <row r="240" spans="1:33" s="99" customFormat="1" ht="11.4" customHeight="1" x14ac:dyDescent="0.3">
      <c r="A240" s="1" t="s">
        <v>34</v>
      </c>
      <c r="B240" s="43">
        <v>219</v>
      </c>
      <c r="C240" s="191">
        <v>16779</v>
      </c>
      <c r="D240" s="19">
        <v>2024</v>
      </c>
      <c r="E240" s="44" t="s">
        <v>35</v>
      </c>
      <c r="F240" s="45" t="s">
        <v>36</v>
      </c>
      <c r="G240" s="46">
        <v>45653</v>
      </c>
      <c r="H240" s="46">
        <v>46441</v>
      </c>
      <c r="I240" s="45" t="s">
        <v>720</v>
      </c>
      <c r="J240" s="98">
        <v>11001</v>
      </c>
      <c r="K240" s="96" t="s">
        <v>720</v>
      </c>
      <c r="L240" s="45" t="s">
        <v>55</v>
      </c>
      <c r="M240" s="4" t="s">
        <v>446</v>
      </c>
      <c r="N240" s="4" t="s">
        <v>721</v>
      </c>
      <c r="O240" s="49" t="s">
        <v>42</v>
      </c>
      <c r="P240" s="49"/>
      <c r="Q240" s="49" t="s">
        <v>120</v>
      </c>
      <c r="R240" s="50" t="s">
        <v>227</v>
      </c>
      <c r="S240" s="51">
        <v>0</v>
      </c>
      <c r="T240" s="51"/>
      <c r="U240" s="113">
        <v>3000000000</v>
      </c>
      <c r="V240" s="113"/>
      <c r="W240" s="53">
        <f>PROYECTOS_DIH[[#This Row],[VALOR DESEMBOLSOS PROYECTO]]/PROYECTOS_DIH[[#This Row],[Valor Proyecto Inicial.]]</f>
        <v>0</v>
      </c>
      <c r="X240" s="54">
        <v>0</v>
      </c>
      <c r="Y240" s="54" t="s">
        <v>1180</v>
      </c>
      <c r="Z240" s="55"/>
      <c r="AA240" s="57" t="s">
        <v>722</v>
      </c>
      <c r="AB240" s="5" t="s">
        <v>1167</v>
      </c>
      <c r="AC240" s="56" t="s">
        <v>62</v>
      </c>
      <c r="AD240" s="59">
        <v>4.6501730300000004</v>
      </c>
      <c r="AE240" s="59">
        <v>-74.107359000000002</v>
      </c>
      <c r="AF240" s="5" t="s">
        <v>723</v>
      </c>
      <c r="AG240" s="147" t="s">
        <v>724</v>
      </c>
    </row>
    <row r="241" spans="1:33" s="99" customFormat="1" ht="11.4" customHeight="1" x14ac:dyDescent="0.3">
      <c r="A241" s="1" t="s">
        <v>34</v>
      </c>
      <c r="B241" s="43">
        <v>99</v>
      </c>
      <c r="C241" s="191">
        <v>16780</v>
      </c>
      <c r="D241" s="19">
        <v>2024</v>
      </c>
      <c r="E241" s="44" t="s">
        <v>35</v>
      </c>
      <c r="F241" s="45" t="s">
        <v>36</v>
      </c>
      <c r="G241" s="46">
        <v>45653</v>
      </c>
      <c r="H241" s="46">
        <v>46441</v>
      </c>
      <c r="I241" s="47" t="s">
        <v>68</v>
      </c>
      <c r="J241" s="48">
        <v>76001</v>
      </c>
      <c r="K241" s="97" t="s">
        <v>445</v>
      </c>
      <c r="L241" s="45" t="s">
        <v>55</v>
      </c>
      <c r="M241" s="4" t="s">
        <v>446</v>
      </c>
      <c r="N241" s="4" t="s">
        <v>447</v>
      </c>
      <c r="O241" s="49" t="s">
        <v>42</v>
      </c>
      <c r="P241" s="49"/>
      <c r="Q241" s="45" t="s">
        <v>120</v>
      </c>
      <c r="R241" s="131" t="s">
        <v>227</v>
      </c>
      <c r="S241" s="51">
        <v>0</v>
      </c>
      <c r="T241" s="51"/>
      <c r="U241" s="132">
        <v>6720000000</v>
      </c>
      <c r="V241" s="132"/>
      <c r="W241" s="53">
        <f>PROYECTOS_DIH[[#This Row],[VALOR DESEMBOLSOS PROYECTO]]/PROYECTOS_DIH[[#This Row],[Valor Proyecto Inicial.]]</f>
        <v>0</v>
      </c>
      <c r="X241" s="54">
        <v>0</v>
      </c>
      <c r="Y241" s="54" t="s">
        <v>1180</v>
      </c>
      <c r="Z241" s="55"/>
      <c r="AA241" s="57" t="s">
        <v>448</v>
      </c>
      <c r="AB241" s="5" t="s">
        <v>1137</v>
      </c>
      <c r="AC241" s="56" t="s">
        <v>62</v>
      </c>
      <c r="AD241" s="59">
        <v>3.4144143050000002</v>
      </c>
      <c r="AE241" s="59">
        <v>-76.521565150000001</v>
      </c>
      <c r="AF241" s="5" t="s">
        <v>74</v>
      </c>
      <c r="AG241" s="77" t="s">
        <v>75</v>
      </c>
    </row>
    <row r="242" spans="1:33" s="99" customFormat="1" ht="11.4" customHeight="1" x14ac:dyDescent="0.3">
      <c r="A242" s="16" t="s">
        <v>725</v>
      </c>
      <c r="B242" s="43">
        <v>220</v>
      </c>
      <c r="C242" s="94">
        <v>16783</v>
      </c>
      <c r="D242" s="44">
        <v>2024</v>
      </c>
      <c r="E242" s="44" t="s">
        <v>726</v>
      </c>
      <c r="F242" s="45" t="s">
        <v>727</v>
      </c>
      <c r="G242" s="46">
        <v>45656</v>
      </c>
      <c r="H242" s="46">
        <v>46568</v>
      </c>
      <c r="I242" s="45" t="s">
        <v>76</v>
      </c>
      <c r="J242" s="98">
        <v>25181</v>
      </c>
      <c r="K242" s="96" t="s">
        <v>728</v>
      </c>
      <c r="L242" s="45" t="s">
        <v>39</v>
      </c>
      <c r="M242" s="45" t="s">
        <v>100</v>
      </c>
      <c r="N242" s="45" t="s">
        <v>729</v>
      </c>
      <c r="O242" s="49" t="s">
        <v>42</v>
      </c>
      <c r="P242" s="49" t="s">
        <v>43</v>
      </c>
      <c r="Q242" s="49" t="s">
        <v>44</v>
      </c>
      <c r="R242" s="50" t="s">
        <v>730</v>
      </c>
      <c r="S242" s="51">
        <v>0</v>
      </c>
      <c r="T242" s="51"/>
      <c r="U242" s="128">
        <v>4363451558</v>
      </c>
      <c r="V242" s="128"/>
      <c r="W242" s="53">
        <f>PROYECTOS_DIH[[#This Row],[VALOR DESEMBOLSOS PROYECTO]]/PROYECTOS_DIH[[#This Row],[Valor Proyecto Inicial.]]</f>
        <v>0.34000000006416936</v>
      </c>
      <c r="X242" s="148">
        <v>1483573530</v>
      </c>
      <c r="Y242" s="54" t="s">
        <v>1180</v>
      </c>
      <c r="Z242" s="55">
        <v>6006</v>
      </c>
      <c r="AA242" s="57" t="s">
        <v>731</v>
      </c>
      <c r="AB242" s="5" t="s">
        <v>1158</v>
      </c>
      <c r="AC242" s="56" t="s">
        <v>62</v>
      </c>
      <c r="AD242" s="59">
        <v>4.5270479210000003</v>
      </c>
      <c r="AE242" s="59">
        <v>-73.922894479999997</v>
      </c>
      <c r="AF242" s="5" t="s">
        <v>79</v>
      </c>
      <c r="AG242" s="81" t="s">
        <v>80</v>
      </c>
    </row>
    <row r="243" spans="1:33" s="99" customFormat="1" ht="11.4" customHeight="1" x14ac:dyDescent="0.3">
      <c r="A243" s="1" t="s">
        <v>34</v>
      </c>
      <c r="B243" s="43">
        <v>221</v>
      </c>
      <c r="C243" s="191">
        <v>16785</v>
      </c>
      <c r="D243" s="19">
        <v>2024</v>
      </c>
      <c r="E243" s="44" t="s">
        <v>35</v>
      </c>
      <c r="F243" s="45" t="s">
        <v>36</v>
      </c>
      <c r="G243" s="46">
        <v>45653</v>
      </c>
      <c r="H243" s="46">
        <v>46441</v>
      </c>
      <c r="I243" s="47" t="s">
        <v>189</v>
      </c>
      <c r="J243" s="48">
        <v>5250</v>
      </c>
      <c r="K243" s="97" t="s">
        <v>601</v>
      </c>
      <c r="L243" s="45" t="s">
        <v>39</v>
      </c>
      <c r="M243" s="45" t="s">
        <v>126</v>
      </c>
      <c r="N243" s="4" t="s">
        <v>732</v>
      </c>
      <c r="O243" s="49" t="s">
        <v>42</v>
      </c>
      <c r="P243" s="49" t="s">
        <v>132</v>
      </c>
      <c r="Q243" s="49" t="s">
        <v>44</v>
      </c>
      <c r="R243" s="50" t="s">
        <v>733</v>
      </c>
      <c r="S243" s="51">
        <v>0</v>
      </c>
      <c r="T243" s="51"/>
      <c r="U243" s="52">
        <v>4500000000</v>
      </c>
      <c r="V243" s="52"/>
      <c r="W243" s="53">
        <f>PROYECTOS_DIH[[#This Row],[VALOR DESEMBOLSOS PROYECTO]]/PROYECTOS_DIH[[#This Row],[Valor Proyecto Inicial.]]</f>
        <v>0</v>
      </c>
      <c r="X243" s="54">
        <v>0</v>
      </c>
      <c r="Y243" s="54" t="s">
        <v>1180</v>
      </c>
      <c r="Z243" s="55">
        <v>30000</v>
      </c>
      <c r="AA243" s="57" t="s">
        <v>734</v>
      </c>
      <c r="AB243" s="5" t="s">
        <v>1149</v>
      </c>
      <c r="AC243" s="56" t="s">
        <v>47</v>
      </c>
      <c r="AD243" s="59">
        <v>7.5975217940000004</v>
      </c>
      <c r="AE243" s="59">
        <v>-74.799097290000006</v>
      </c>
      <c r="AF243" s="5" t="s">
        <v>191</v>
      </c>
      <c r="AG243" s="110" t="s">
        <v>49</v>
      </c>
    </row>
    <row r="244" spans="1:33" s="99" customFormat="1" ht="11.4" customHeight="1" x14ac:dyDescent="0.3">
      <c r="A244" s="1" t="s">
        <v>34</v>
      </c>
      <c r="B244" s="43">
        <v>223</v>
      </c>
      <c r="C244" s="191">
        <v>16786</v>
      </c>
      <c r="D244" s="19">
        <v>2024</v>
      </c>
      <c r="E244" s="44" t="s">
        <v>35</v>
      </c>
      <c r="F244" s="45" t="s">
        <v>36</v>
      </c>
      <c r="G244" s="46">
        <v>45653</v>
      </c>
      <c r="H244" s="46">
        <v>46441</v>
      </c>
      <c r="I244" s="4" t="s">
        <v>88</v>
      </c>
      <c r="J244" s="63">
        <v>52250</v>
      </c>
      <c r="K244" s="4" t="s">
        <v>737</v>
      </c>
      <c r="L244" s="45" t="s">
        <v>39</v>
      </c>
      <c r="M244" s="45" t="s">
        <v>100</v>
      </c>
      <c r="N244" s="4" t="s">
        <v>738</v>
      </c>
      <c r="O244" s="49" t="s">
        <v>42</v>
      </c>
      <c r="P244" s="49" t="s">
        <v>43</v>
      </c>
      <c r="Q244" s="49" t="s">
        <v>44</v>
      </c>
      <c r="R244" s="50" t="s">
        <v>739</v>
      </c>
      <c r="S244" s="51">
        <v>0</v>
      </c>
      <c r="T244" s="51"/>
      <c r="U244" s="52">
        <v>2734698432</v>
      </c>
      <c r="V244" s="52"/>
      <c r="W244" s="53">
        <f>PROYECTOS_DIH[[#This Row],[VALOR DESEMBOLSOS PROYECTO]]/PROYECTOS_DIH[[#This Row],[Valor Proyecto Inicial.]]</f>
        <v>0</v>
      </c>
      <c r="X244" s="54">
        <v>0</v>
      </c>
      <c r="Y244" s="54" t="s">
        <v>1180</v>
      </c>
      <c r="Z244" s="55">
        <v>21000</v>
      </c>
      <c r="AA244" s="57" t="s">
        <v>740</v>
      </c>
      <c r="AB244" s="5" t="s">
        <v>1145</v>
      </c>
      <c r="AC244" s="56" t="s">
        <v>47</v>
      </c>
      <c r="AD244" s="59">
        <v>2.4775505930000001</v>
      </c>
      <c r="AE244" s="59">
        <v>-78.109848999999997</v>
      </c>
      <c r="AF244" s="5" t="s">
        <v>91</v>
      </c>
      <c r="AG244" s="77" t="s">
        <v>75</v>
      </c>
    </row>
    <row r="245" spans="1:33" s="99" customFormat="1" ht="11.4" customHeight="1" x14ac:dyDescent="0.3">
      <c r="A245" s="1" t="s">
        <v>34</v>
      </c>
      <c r="B245" s="43">
        <v>224</v>
      </c>
      <c r="C245" s="191">
        <v>16787</v>
      </c>
      <c r="D245" s="19">
        <v>2024</v>
      </c>
      <c r="E245" s="44" t="s">
        <v>35</v>
      </c>
      <c r="F245" s="45" t="s">
        <v>36</v>
      </c>
      <c r="G245" s="46">
        <v>45653</v>
      </c>
      <c r="H245" s="46">
        <v>46441</v>
      </c>
      <c r="I245" s="47" t="s">
        <v>268</v>
      </c>
      <c r="J245" s="48">
        <v>19256</v>
      </c>
      <c r="K245" s="96" t="s">
        <v>585</v>
      </c>
      <c r="L245" s="8" t="s">
        <v>70</v>
      </c>
      <c r="M245" s="62" t="s">
        <v>701</v>
      </c>
      <c r="N245" s="4" t="s">
        <v>741</v>
      </c>
      <c r="O245" s="49" t="s">
        <v>42</v>
      </c>
      <c r="P245" s="49" t="s">
        <v>132</v>
      </c>
      <c r="Q245" s="49" t="s">
        <v>44</v>
      </c>
      <c r="R245" s="50" t="s">
        <v>699</v>
      </c>
      <c r="S245" s="51">
        <v>0</v>
      </c>
      <c r="T245" s="51"/>
      <c r="U245" s="113">
        <v>4500000000</v>
      </c>
      <c r="V245" s="113"/>
      <c r="W245" s="53">
        <f>PROYECTOS_DIH[[#This Row],[VALOR DESEMBOLSOS PROYECTO]]/PROYECTOS_DIH[[#This Row],[Valor Proyecto Inicial.]]</f>
        <v>0</v>
      </c>
      <c r="X245" s="54">
        <v>0</v>
      </c>
      <c r="Y245" s="54" t="s">
        <v>1180</v>
      </c>
      <c r="Z245" s="55">
        <v>58000</v>
      </c>
      <c r="AA245" s="57" t="s">
        <v>742</v>
      </c>
      <c r="AB245" s="5" t="s">
        <v>1138</v>
      </c>
      <c r="AC245" s="56" t="s">
        <v>47</v>
      </c>
      <c r="AD245" s="59">
        <v>2.45137136</v>
      </c>
      <c r="AE245" s="59">
        <v>-76.810772249999999</v>
      </c>
      <c r="AF245" s="5" t="s">
        <v>272</v>
      </c>
      <c r="AG245" s="71" t="s">
        <v>75</v>
      </c>
    </row>
    <row r="246" spans="1:33" s="99" customFormat="1" ht="11.4" customHeight="1" x14ac:dyDescent="0.3">
      <c r="A246" s="16" t="s">
        <v>725</v>
      </c>
      <c r="B246" s="43">
        <v>225</v>
      </c>
      <c r="C246" s="94">
        <v>16789</v>
      </c>
      <c r="D246" s="44">
        <v>2025</v>
      </c>
      <c r="E246" s="44" t="s">
        <v>303</v>
      </c>
      <c r="F246" s="45" t="s">
        <v>743</v>
      </c>
      <c r="G246" s="46">
        <v>45770</v>
      </c>
      <c r="H246" s="46">
        <v>46387</v>
      </c>
      <c r="I246" s="47" t="s">
        <v>166</v>
      </c>
      <c r="J246" s="48">
        <v>41298</v>
      </c>
      <c r="K246" s="96" t="s">
        <v>614</v>
      </c>
      <c r="L246" s="45" t="s">
        <v>39</v>
      </c>
      <c r="M246" s="45" t="s">
        <v>126</v>
      </c>
      <c r="N246" s="140" t="s">
        <v>744</v>
      </c>
      <c r="O246" s="49" t="s">
        <v>42</v>
      </c>
      <c r="P246" s="49" t="s">
        <v>132</v>
      </c>
      <c r="Q246" s="49" t="s">
        <v>44</v>
      </c>
      <c r="R246" s="50" t="s">
        <v>745</v>
      </c>
      <c r="S246" s="51">
        <v>0</v>
      </c>
      <c r="T246" s="51"/>
      <c r="U246" s="52">
        <v>4152988160</v>
      </c>
      <c r="V246" s="52"/>
      <c r="W246" s="53">
        <f>PROYECTOS_DIH[[#This Row],[VALOR DESEMBOLSOS PROYECTO]]/PROYECTOS_DIH[[#This Row],[Valor Proyecto Inicial.]]</f>
        <v>0</v>
      </c>
      <c r="X246" s="54">
        <v>0</v>
      </c>
      <c r="Y246" s="54" t="s">
        <v>1180</v>
      </c>
      <c r="Z246" s="55">
        <v>15783</v>
      </c>
      <c r="AA246" s="57" t="s">
        <v>746</v>
      </c>
      <c r="AB246" s="5" t="s">
        <v>1155</v>
      </c>
      <c r="AC246" s="56" t="s">
        <v>62</v>
      </c>
      <c r="AD246" s="59">
        <v>2.1969944209999999</v>
      </c>
      <c r="AE246" s="59">
        <v>-75.627693739999998</v>
      </c>
      <c r="AF246" s="5" t="s">
        <v>172</v>
      </c>
      <c r="AG246" s="81" t="s">
        <v>80</v>
      </c>
    </row>
    <row r="247" spans="1:33" s="99" customFormat="1" ht="11.4" customHeight="1" x14ac:dyDescent="0.3">
      <c r="A247" s="1" t="s">
        <v>34</v>
      </c>
      <c r="B247" s="43">
        <v>226</v>
      </c>
      <c r="C247" s="191">
        <v>16790</v>
      </c>
      <c r="D247" s="19">
        <v>2024</v>
      </c>
      <c r="E247" s="44" t="s">
        <v>35</v>
      </c>
      <c r="F247" s="45" t="s">
        <v>36</v>
      </c>
      <c r="G247" s="46">
        <v>45653</v>
      </c>
      <c r="H247" s="46">
        <v>46441</v>
      </c>
      <c r="I247" s="47" t="s">
        <v>176</v>
      </c>
      <c r="J247" s="48">
        <v>54874</v>
      </c>
      <c r="K247" s="4" t="s">
        <v>747</v>
      </c>
      <c r="L247" s="45" t="s">
        <v>55</v>
      </c>
      <c r="M247" s="4" t="s">
        <v>446</v>
      </c>
      <c r="N247" s="4" t="s">
        <v>748</v>
      </c>
      <c r="O247" s="49" t="s">
        <v>42</v>
      </c>
      <c r="P247" s="49" t="s">
        <v>132</v>
      </c>
      <c r="Q247" s="49" t="s">
        <v>44</v>
      </c>
      <c r="R247" s="50" t="s">
        <v>749</v>
      </c>
      <c r="S247" s="51">
        <v>0</v>
      </c>
      <c r="T247" s="51"/>
      <c r="U247" s="113">
        <v>3270000000</v>
      </c>
      <c r="V247" s="113"/>
      <c r="W247" s="53">
        <f>PROYECTOS_DIH[[#This Row],[VALOR DESEMBOLSOS PROYECTO]]/PROYECTOS_DIH[[#This Row],[Valor Proyecto Inicial.]]</f>
        <v>0</v>
      </c>
      <c r="X247" s="54">
        <v>0</v>
      </c>
      <c r="Y247" s="54" t="s">
        <v>1180</v>
      </c>
      <c r="Z247" s="55">
        <v>110000</v>
      </c>
      <c r="AA247" s="57" t="s">
        <v>750</v>
      </c>
      <c r="AB247" s="5" t="s">
        <v>1136</v>
      </c>
      <c r="AC247" s="56" t="s">
        <v>62</v>
      </c>
      <c r="AD247" s="59">
        <v>7.8474874320000003</v>
      </c>
      <c r="AE247" s="59">
        <v>-72.47006734</v>
      </c>
      <c r="AF247" s="5" t="s">
        <v>180</v>
      </c>
      <c r="AG247" s="126" t="s">
        <v>110</v>
      </c>
    </row>
    <row r="248" spans="1:33" s="99" customFormat="1" ht="11.4" customHeight="1" x14ac:dyDescent="0.3">
      <c r="A248" s="16" t="s">
        <v>725</v>
      </c>
      <c r="B248" s="43">
        <v>227</v>
      </c>
      <c r="C248" s="94">
        <v>16792</v>
      </c>
      <c r="D248" s="44">
        <v>2024</v>
      </c>
      <c r="E248" s="44" t="s">
        <v>726</v>
      </c>
      <c r="F248" s="45" t="s">
        <v>751</v>
      </c>
      <c r="G248" s="46">
        <v>45656</v>
      </c>
      <c r="H248" s="46">
        <v>46568</v>
      </c>
      <c r="I248" s="45" t="s">
        <v>76</v>
      </c>
      <c r="J248" s="98">
        <v>25339</v>
      </c>
      <c r="K248" s="96" t="s">
        <v>752</v>
      </c>
      <c r="L248" s="8" t="s">
        <v>70</v>
      </c>
      <c r="M248" s="46" t="s">
        <v>701</v>
      </c>
      <c r="N248" s="45" t="s">
        <v>753</v>
      </c>
      <c r="O248" s="49" t="s">
        <v>42</v>
      </c>
      <c r="P248" s="49" t="s">
        <v>43</v>
      </c>
      <c r="Q248" s="49" t="s">
        <v>44</v>
      </c>
      <c r="R248" s="50" t="s">
        <v>730</v>
      </c>
      <c r="S248" s="51">
        <v>0</v>
      </c>
      <c r="T248" s="51"/>
      <c r="U248" s="52">
        <v>3363173371</v>
      </c>
      <c r="V248" s="52"/>
      <c r="W248" s="53">
        <f>PROYECTOS_DIH[[#This Row],[VALOR DESEMBOLSOS PROYECTO]]/PROYECTOS_DIH[[#This Row],[Valor Proyecto Inicial.]]</f>
        <v>0.33999999995837266</v>
      </c>
      <c r="X248" s="54">
        <v>1143478946</v>
      </c>
      <c r="Y248" s="54" t="s">
        <v>1180</v>
      </c>
      <c r="Z248" s="55">
        <v>4057</v>
      </c>
      <c r="AA248" s="57" t="s">
        <v>754</v>
      </c>
      <c r="AB248" s="5" t="s">
        <v>1158</v>
      </c>
      <c r="AC248" s="56" t="s">
        <v>62</v>
      </c>
      <c r="AD248" s="59">
        <v>4.254678867</v>
      </c>
      <c r="AE248" s="59">
        <v>-74.003041899999999</v>
      </c>
      <c r="AF248" s="5" t="s">
        <v>79</v>
      </c>
      <c r="AG248" s="81" t="s">
        <v>80</v>
      </c>
    </row>
    <row r="249" spans="1:33" s="99" customFormat="1" ht="11.4" customHeight="1" x14ac:dyDescent="0.3">
      <c r="A249" s="16" t="s">
        <v>725</v>
      </c>
      <c r="B249" s="43">
        <v>228</v>
      </c>
      <c r="C249" s="94">
        <v>16794</v>
      </c>
      <c r="D249" s="44">
        <v>2025</v>
      </c>
      <c r="E249" s="44" t="s">
        <v>303</v>
      </c>
      <c r="F249" s="45" t="s">
        <v>755</v>
      </c>
      <c r="G249" s="46">
        <v>45770</v>
      </c>
      <c r="H249" s="46">
        <v>46387</v>
      </c>
      <c r="I249" s="47" t="s">
        <v>166</v>
      </c>
      <c r="J249" s="48">
        <v>41357</v>
      </c>
      <c r="K249" s="96" t="s">
        <v>756</v>
      </c>
      <c r="L249" s="45" t="s">
        <v>39</v>
      </c>
      <c r="M249" s="45" t="s">
        <v>126</v>
      </c>
      <c r="N249" s="140" t="s">
        <v>757</v>
      </c>
      <c r="O249" s="49" t="s">
        <v>42</v>
      </c>
      <c r="P249" s="49" t="s">
        <v>132</v>
      </c>
      <c r="Q249" s="49" t="s">
        <v>44</v>
      </c>
      <c r="R249" s="50" t="s">
        <v>745</v>
      </c>
      <c r="S249" s="51">
        <v>0</v>
      </c>
      <c r="T249" s="51"/>
      <c r="U249" s="52">
        <v>1274575935</v>
      </c>
      <c r="V249" s="52"/>
      <c r="W249" s="53">
        <f>PROYECTOS_DIH[[#This Row],[VALOR DESEMBOLSOS PROYECTO]]/PROYECTOS_DIH[[#This Row],[Valor Proyecto Inicial.]]</f>
        <v>0</v>
      </c>
      <c r="X249" s="54">
        <v>0</v>
      </c>
      <c r="Y249" s="54" t="s">
        <v>1180</v>
      </c>
      <c r="Z249" s="55">
        <v>1964</v>
      </c>
      <c r="AA249" s="57" t="s">
        <v>758</v>
      </c>
      <c r="AB249" s="5" t="s">
        <v>1155</v>
      </c>
      <c r="AC249" s="56" t="s">
        <v>62</v>
      </c>
      <c r="AD249" s="59">
        <v>2.64935907</v>
      </c>
      <c r="AE249" s="59">
        <v>-75.634497479999993</v>
      </c>
      <c r="AF249" s="5" t="s">
        <v>172</v>
      </c>
      <c r="AG249" s="81" t="s">
        <v>80</v>
      </c>
    </row>
    <row r="250" spans="1:33" s="99" customFormat="1" ht="11.4" customHeight="1" x14ac:dyDescent="0.3">
      <c r="A250" s="1" t="s">
        <v>34</v>
      </c>
      <c r="B250" s="43">
        <v>230</v>
      </c>
      <c r="C250" s="191">
        <v>16795</v>
      </c>
      <c r="D250" s="19">
        <v>2024</v>
      </c>
      <c r="E250" s="44" t="s">
        <v>35</v>
      </c>
      <c r="F250" s="45" t="s">
        <v>36</v>
      </c>
      <c r="G250" s="46">
        <v>45653</v>
      </c>
      <c r="H250" s="46">
        <v>46441</v>
      </c>
      <c r="I250" s="47" t="s">
        <v>68</v>
      </c>
      <c r="J250" s="48">
        <v>76364</v>
      </c>
      <c r="K250" s="4" t="s">
        <v>761</v>
      </c>
      <c r="L250" s="8" t="s">
        <v>70</v>
      </c>
      <c r="M250" s="62" t="s">
        <v>762</v>
      </c>
      <c r="N250" s="4" t="s">
        <v>763</v>
      </c>
      <c r="O250" s="49" t="s">
        <v>42</v>
      </c>
      <c r="P250" s="49" t="s">
        <v>132</v>
      </c>
      <c r="Q250" s="49" t="s">
        <v>44</v>
      </c>
      <c r="R250" s="50" t="s">
        <v>764</v>
      </c>
      <c r="S250" s="51">
        <v>0</v>
      </c>
      <c r="T250" s="51"/>
      <c r="U250" s="113">
        <v>5200000000</v>
      </c>
      <c r="V250" s="113"/>
      <c r="W250" s="53">
        <f>PROYECTOS_DIH[[#This Row],[VALOR DESEMBOLSOS PROYECTO]]/PROYECTOS_DIH[[#This Row],[Valor Proyecto Inicial.]]</f>
        <v>0</v>
      </c>
      <c r="X250" s="54">
        <v>0</v>
      </c>
      <c r="Y250" s="54" t="s">
        <v>1180</v>
      </c>
      <c r="Z250" s="55">
        <v>115000</v>
      </c>
      <c r="AA250" s="57" t="s">
        <v>765</v>
      </c>
      <c r="AB250" s="5" t="s">
        <v>1137</v>
      </c>
      <c r="AC250" s="56" t="s">
        <v>62</v>
      </c>
      <c r="AD250" s="59">
        <v>3.2622757600000001</v>
      </c>
      <c r="AE250" s="59">
        <v>-76.542458730000007</v>
      </c>
      <c r="AF250" s="5" t="s">
        <v>74</v>
      </c>
      <c r="AG250" s="77" t="s">
        <v>75</v>
      </c>
    </row>
    <row r="251" spans="1:33" s="99" customFormat="1" ht="11.4" customHeight="1" x14ac:dyDescent="0.3">
      <c r="A251" s="16" t="s">
        <v>725</v>
      </c>
      <c r="B251" s="43">
        <v>231</v>
      </c>
      <c r="C251" s="94">
        <v>16797</v>
      </c>
      <c r="D251" s="44">
        <v>2025</v>
      </c>
      <c r="E251" s="44" t="s">
        <v>303</v>
      </c>
      <c r="F251" s="45" t="s">
        <v>766</v>
      </c>
      <c r="G251" s="46">
        <v>45771</v>
      </c>
      <c r="H251" s="46">
        <v>46387</v>
      </c>
      <c r="I251" s="47" t="s">
        <v>166</v>
      </c>
      <c r="J251" s="48">
        <v>41396</v>
      </c>
      <c r="K251" s="140" t="s">
        <v>767</v>
      </c>
      <c r="L251" s="45" t="s">
        <v>39</v>
      </c>
      <c r="M251" s="45" t="s">
        <v>126</v>
      </c>
      <c r="N251" s="140" t="s">
        <v>768</v>
      </c>
      <c r="O251" s="49" t="s">
        <v>42</v>
      </c>
      <c r="P251" s="49" t="s">
        <v>132</v>
      </c>
      <c r="Q251" s="49" t="s">
        <v>44</v>
      </c>
      <c r="R251" s="50" t="s">
        <v>745</v>
      </c>
      <c r="S251" s="51">
        <v>0</v>
      </c>
      <c r="T251" s="51"/>
      <c r="U251" s="52">
        <v>1526027192</v>
      </c>
      <c r="V251" s="52"/>
      <c r="W251" s="53">
        <f>PROYECTOS_DIH[[#This Row],[VALOR DESEMBOLSOS PROYECTO]]/PROYECTOS_DIH[[#This Row],[Valor Proyecto Inicial.]]</f>
        <v>0</v>
      </c>
      <c r="X251" s="54">
        <v>0</v>
      </c>
      <c r="Y251" s="54" t="s">
        <v>1180</v>
      </c>
      <c r="Z251" s="55">
        <v>14916</v>
      </c>
      <c r="AA251" s="57" t="s">
        <v>769</v>
      </c>
      <c r="AB251" s="5" t="s">
        <v>1155</v>
      </c>
      <c r="AC251" s="56" t="s">
        <v>62</v>
      </c>
      <c r="AD251" s="59">
        <v>2.3896466940000001</v>
      </c>
      <c r="AE251" s="59">
        <v>-75.891451309999994</v>
      </c>
      <c r="AF251" s="5" t="s">
        <v>172</v>
      </c>
      <c r="AG251" s="81" t="s">
        <v>80</v>
      </c>
    </row>
    <row r="252" spans="1:33" s="99" customFormat="1" ht="11.4" customHeight="1" x14ac:dyDescent="0.3">
      <c r="A252" s="1" t="s">
        <v>34</v>
      </c>
      <c r="B252" s="43">
        <v>232</v>
      </c>
      <c r="C252" s="191">
        <v>16798</v>
      </c>
      <c r="D252" s="19">
        <v>2024</v>
      </c>
      <c r="E252" s="44" t="s">
        <v>35</v>
      </c>
      <c r="F252" s="45" t="s">
        <v>36</v>
      </c>
      <c r="G252" s="46">
        <v>45653</v>
      </c>
      <c r="H252" s="46">
        <v>46441</v>
      </c>
      <c r="I252" s="47" t="s">
        <v>268</v>
      </c>
      <c r="J252" s="48">
        <v>19418</v>
      </c>
      <c r="K252" s="4" t="s">
        <v>770</v>
      </c>
      <c r="L252" s="8" t="s">
        <v>70</v>
      </c>
      <c r="M252" s="62" t="s">
        <v>701</v>
      </c>
      <c r="N252" s="4" t="s">
        <v>771</v>
      </c>
      <c r="O252" s="49" t="s">
        <v>42</v>
      </c>
      <c r="P252" s="49" t="s">
        <v>132</v>
      </c>
      <c r="Q252" s="49" t="s">
        <v>44</v>
      </c>
      <c r="R252" s="50" t="s">
        <v>699</v>
      </c>
      <c r="S252" s="51">
        <v>0</v>
      </c>
      <c r="T252" s="51"/>
      <c r="U252" s="113">
        <v>6500000000</v>
      </c>
      <c r="V252" s="113"/>
      <c r="W252" s="53">
        <f>PROYECTOS_DIH[[#This Row],[VALOR DESEMBOLSOS PROYECTO]]/PROYECTOS_DIH[[#This Row],[Valor Proyecto Inicial.]]</f>
        <v>0</v>
      </c>
      <c r="X252" s="54">
        <v>0</v>
      </c>
      <c r="Y252" s="54" t="s">
        <v>1180</v>
      </c>
      <c r="Z252" s="55">
        <v>20000</v>
      </c>
      <c r="AA252" s="57" t="s">
        <v>742</v>
      </c>
      <c r="AB252" s="5" t="s">
        <v>1138</v>
      </c>
      <c r="AC252" s="56" t="s">
        <v>47</v>
      </c>
      <c r="AD252" s="59">
        <v>2.8467159319999999</v>
      </c>
      <c r="AE252" s="59">
        <v>-77.247691540000005</v>
      </c>
      <c r="AF252" s="5" t="s">
        <v>272</v>
      </c>
      <c r="AG252" s="71" t="s">
        <v>75</v>
      </c>
    </row>
    <row r="253" spans="1:33" s="99" customFormat="1" ht="11.4" customHeight="1" x14ac:dyDescent="0.3">
      <c r="A253" s="1" t="s">
        <v>34</v>
      </c>
      <c r="B253" s="43">
        <v>233</v>
      </c>
      <c r="C253" s="191">
        <v>16801</v>
      </c>
      <c r="D253" s="19">
        <v>2024</v>
      </c>
      <c r="E253" s="44" t="s">
        <v>35</v>
      </c>
      <c r="F253" s="45" t="s">
        <v>36</v>
      </c>
      <c r="G253" s="46">
        <v>45653</v>
      </c>
      <c r="H253" s="46">
        <v>46441</v>
      </c>
      <c r="I253" s="4" t="s">
        <v>88</v>
      </c>
      <c r="J253" s="63">
        <v>52435</v>
      </c>
      <c r="K253" s="4" t="s">
        <v>654</v>
      </c>
      <c r="L253" s="8" t="s">
        <v>70</v>
      </c>
      <c r="M253" s="62" t="s">
        <v>701</v>
      </c>
      <c r="N253" s="4" t="s">
        <v>701</v>
      </c>
      <c r="O253" s="49" t="s">
        <v>42</v>
      </c>
      <c r="P253" s="49" t="s">
        <v>132</v>
      </c>
      <c r="Q253" s="49" t="s">
        <v>44</v>
      </c>
      <c r="R253" s="50" t="s">
        <v>772</v>
      </c>
      <c r="S253" s="51">
        <v>0</v>
      </c>
      <c r="T253" s="51"/>
      <c r="U253" s="113">
        <v>3300000000</v>
      </c>
      <c r="V253" s="113"/>
      <c r="W253" s="53">
        <f>PROYECTOS_DIH[[#This Row],[VALOR DESEMBOLSOS PROYECTO]]/PROYECTOS_DIH[[#This Row],[Valor Proyecto Inicial.]]</f>
        <v>0</v>
      </c>
      <c r="X253" s="54">
        <v>0</v>
      </c>
      <c r="Y253" s="54" t="s">
        <v>1180</v>
      </c>
      <c r="Z253" s="55">
        <v>9000</v>
      </c>
      <c r="AA253" s="57" t="s">
        <v>773</v>
      </c>
      <c r="AB253" s="5" t="s">
        <v>1145</v>
      </c>
      <c r="AC253" s="56" t="s">
        <v>96</v>
      </c>
      <c r="AD253" s="59">
        <v>1.1408389699999999</v>
      </c>
      <c r="AE253" s="59">
        <v>-77.864428290000006</v>
      </c>
      <c r="AF253" s="5" t="s">
        <v>91</v>
      </c>
      <c r="AG253" s="77" t="s">
        <v>75</v>
      </c>
    </row>
    <row r="254" spans="1:33" s="99" customFormat="1" ht="11.4" customHeight="1" x14ac:dyDescent="0.3">
      <c r="A254" s="9" t="s">
        <v>307</v>
      </c>
      <c r="B254" s="43">
        <v>234</v>
      </c>
      <c r="C254" s="94">
        <v>16803</v>
      </c>
      <c r="D254" s="44">
        <v>2012</v>
      </c>
      <c r="E254" s="44" t="s">
        <v>308</v>
      </c>
      <c r="F254" s="45" t="s">
        <v>309</v>
      </c>
      <c r="G254" s="46">
        <v>41271</v>
      </c>
      <c r="H254" s="46">
        <v>46538</v>
      </c>
      <c r="I254" s="47" t="s">
        <v>37</v>
      </c>
      <c r="J254" s="48">
        <v>27495</v>
      </c>
      <c r="K254" s="45" t="s">
        <v>774</v>
      </c>
      <c r="L254" s="45" t="s">
        <v>55</v>
      </c>
      <c r="M254" s="45" t="s">
        <v>775</v>
      </c>
      <c r="N254" s="45" t="s">
        <v>776</v>
      </c>
      <c r="O254" s="49" t="s">
        <v>42</v>
      </c>
      <c r="P254" s="49" t="s">
        <v>42</v>
      </c>
      <c r="Q254" s="49" t="s">
        <v>170</v>
      </c>
      <c r="R254" s="88" t="s">
        <v>231</v>
      </c>
      <c r="S254" s="51">
        <v>0.74</v>
      </c>
      <c r="T254" s="51"/>
      <c r="U254" s="113">
        <v>5074517428.6599998</v>
      </c>
      <c r="V254" s="113"/>
      <c r="W254" s="53">
        <f>PROYECTOS_DIH[[#This Row],[VALOR DESEMBOLSOS PROYECTO]]/PROYECTOS_DIH[[#This Row],[Valor Proyecto Inicial.]]</f>
        <v>0</v>
      </c>
      <c r="X254" s="54">
        <v>0</v>
      </c>
      <c r="Y254" s="54" t="s">
        <v>1180</v>
      </c>
      <c r="Z254" s="55">
        <v>17954</v>
      </c>
      <c r="AA254" s="57" t="s">
        <v>777</v>
      </c>
      <c r="AB254" s="5" t="s">
        <v>1153</v>
      </c>
      <c r="AC254" s="56" t="s">
        <v>62</v>
      </c>
      <c r="AD254" s="59">
        <v>5.7119572359999999</v>
      </c>
      <c r="AE254" s="59">
        <v>-77.262903460000004</v>
      </c>
      <c r="AF254" s="5" t="s">
        <v>330</v>
      </c>
      <c r="AG254" s="77" t="s">
        <v>75</v>
      </c>
    </row>
    <row r="255" spans="1:33" s="99" customFormat="1" ht="11.4" customHeight="1" x14ac:dyDescent="0.3">
      <c r="A255" s="1" t="s">
        <v>34</v>
      </c>
      <c r="B255" s="43">
        <v>235</v>
      </c>
      <c r="C255" s="191">
        <v>16805</v>
      </c>
      <c r="D255" s="19">
        <v>2024</v>
      </c>
      <c r="E255" s="44" t="s">
        <v>35</v>
      </c>
      <c r="F255" s="45" t="s">
        <v>36</v>
      </c>
      <c r="G255" s="46">
        <v>45653</v>
      </c>
      <c r="H255" s="46">
        <v>46441</v>
      </c>
      <c r="I255" s="47" t="s">
        <v>377</v>
      </c>
      <c r="J255" s="145">
        <v>86001</v>
      </c>
      <c r="K255" s="96" t="s">
        <v>735</v>
      </c>
      <c r="L255" s="4" t="s">
        <v>77</v>
      </c>
      <c r="M255" s="4" t="s">
        <v>26</v>
      </c>
      <c r="N255" s="4" t="s">
        <v>778</v>
      </c>
      <c r="O255" s="49" t="s">
        <v>42</v>
      </c>
      <c r="P255" s="49" t="s">
        <v>43</v>
      </c>
      <c r="Q255" s="49" t="s">
        <v>170</v>
      </c>
      <c r="R255" s="50" t="s">
        <v>231</v>
      </c>
      <c r="S255" s="51">
        <v>0</v>
      </c>
      <c r="T255" s="51"/>
      <c r="U255" s="113">
        <v>4836780000</v>
      </c>
      <c r="V255" s="113"/>
      <c r="W255" s="53">
        <f>PROYECTOS_DIH[[#This Row],[VALOR DESEMBOLSOS PROYECTO]]/PROYECTOS_DIH[[#This Row],[Valor Proyecto Inicial.]]</f>
        <v>0</v>
      </c>
      <c r="X255" s="54">
        <v>0</v>
      </c>
      <c r="Y255" s="54" t="s">
        <v>1180</v>
      </c>
      <c r="Z255" s="55">
        <v>477</v>
      </c>
      <c r="AA255" s="57" t="s">
        <v>779</v>
      </c>
      <c r="AB255" s="5" t="s">
        <v>1150</v>
      </c>
      <c r="AC255" s="56" t="s">
        <v>47</v>
      </c>
      <c r="AD255" s="59">
        <v>1.152296118</v>
      </c>
      <c r="AE255" s="59">
        <v>-76.650271419999996</v>
      </c>
      <c r="AF255" s="5" t="s">
        <v>381</v>
      </c>
      <c r="AG255" s="81" t="s">
        <v>80</v>
      </c>
    </row>
    <row r="256" spans="1:33" s="99" customFormat="1" ht="11.4" customHeight="1" x14ac:dyDescent="0.3">
      <c r="A256" s="16" t="s">
        <v>725</v>
      </c>
      <c r="B256" s="43">
        <v>237</v>
      </c>
      <c r="C256" s="94">
        <v>16806</v>
      </c>
      <c r="D256" s="44">
        <v>2024</v>
      </c>
      <c r="E256" s="44" t="s">
        <v>726</v>
      </c>
      <c r="F256" s="45" t="s">
        <v>782</v>
      </c>
      <c r="G256" s="46">
        <v>45656</v>
      </c>
      <c r="H256" s="46">
        <v>46568</v>
      </c>
      <c r="I256" s="45" t="s">
        <v>76</v>
      </c>
      <c r="J256" s="98">
        <v>25307</v>
      </c>
      <c r="K256" s="45" t="s">
        <v>783</v>
      </c>
      <c r="L256" s="45" t="s">
        <v>55</v>
      </c>
      <c r="M256" s="140" t="s">
        <v>784</v>
      </c>
      <c r="N256" s="45" t="s">
        <v>785</v>
      </c>
      <c r="O256" s="49" t="s">
        <v>42</v>
      </c>
      <c r="P256" s="49" t="s">
        <v>43</v>
      </c>
      <c r="Q256" s="49" t="s">
        <v>44</v>
      </c>
      <c r="R256" s="50" t="s">
        <v>730</v>
      </c>
      <c r="S256" s="51">
        <v>0</v>
      </c>
      <c r="T256" s="51"/>
      <c r="U256" s="52">
        <v>2892823582</v>
      </c>
      <c r="V256" s="52"/>
      <c r="W256" s="53">
        <f>PROYECTOS_DIH[[#This Row],[VALOR DESEMBOLSOS PROYECTO]]/PROYECTOS_DIH[[#This Row],[Valor Proyecto Inicial.]]</f>
        <v>0.34000000004148195</v>
      </c>
      <c r="X256" s="54">
        <v>983560018</v>
      </c>
      <c r="Y256" s="54" t="s">
        <v>1180</v>
      </c>
      <c r="Z256" s="55">
        <v>10100</v>
      </c>
      <c r="AA256" s="57" t="s">
        <v>786</v>
      </c>
      <c r="AB256" s="5" t="s">
        <v>1158</v>
      </c>
      <c r="AC256" s="56" t="s">
        <v>62</v>
      </c>
      <c r="AD256" s="59">
        <v>4.3130783370000003</v>
      </c>
      <c r="AE256" s="59">
        <v>-74.797794589999995</v>
      </c>
      <c r="AF256" s="5" t="s">
        <v>79</v>
      </c>
      <c r="AG256" s="81" t="s">
        <v>80</v>
      </c>
    </row>
    <row r="257" spans="1:33" s="99" customFormat="1" ht="11.4" customHeight="1" x14ac:dyDescent="0.3">
      <c r="A257" s="16" t="s">
        <v>725</v>
      </c>
      <c r="B257" s="43">
        <v>239</v>
      </c>
      <c r="C257" s="94">
        <v>16809</v>
      </c>
      <c r="D257" s="44">
        <v>2024</v>
      </c>
      <c r="E257" s="44" t="s">
        <v>726</v>
      </c>
      <c r="F257" s="45" t="s">
        <v>790</v>
      </c>
      <c r="G257" s="46">
        <v>45656</v>
      </c>
      <c r="H257" s="46">
        <v>46568</v>
      </c>
      <c r="I257" s="45" t="s">
        <v>76</v>
      </c>
      <c r="J257" s="98">
        <v>25885</v>
      </c>
      <c r="K257" s="45" t="s">
        <v>791</v>
      </c>
      <c r="L257" s="45" t="s">
        <v>55</v>
      </c>
      <c r="M257" s="140" t="s">
        <v>792</v>
      </c>
      <c r="N257" s="45" t="s">
        <v>793</v>
      </c>
      <c r="O257" s="49" t="s">
        <v>42</v>
      </c>
      <c r="P257" s="49" t="s">
        <v>43</v>
      </c>
      <c r="Q257" s="49" t="s">
        <v>44</v>
      </c>
      <c r="R257" s="50" t="s">
        <v>730</v>
      </c>
      <c r="S257" s="51">
        <v>0</v>
      </c>
      <c r="T257" s="51"/>
      <c r="U257" s="52">
        <v>2753531135</v>
      </c>
      <c r="V257" s="52"/>
      <c r="W257" s="53">
        <f>PROYECTOS_DIH[[#This Row],[VALOR DESEMBOLSOS PROYECTO]]/PROYECTOS_DIH[[#This Row],[Valor Proyecto Inicial.]]</f>
        <v>0.34000000003631703</v>
      </c>
      <c r="X257" s="54">
        <v>936200586</v>
      </c>
      <c r="Y257" s="54" t="s">
        <v>1180</v>
      </c>
      <c r="Z257" s="55">
        <v>152</v>
      </c>
      <c r="AA257" s="57" t="s">
        <v>794</v>
      </c>
      <c r="AB257" s="5" t="s">
        <v>1158</v>
      </c>
      <c r="AC257" s="56" t="s">
        <v>62</v>
      </c>
      <c r="AD257" s="59">
        <v>5.459290341</v>
      </c>
      <c r="AE257" s="59">
        <v>-74.338024349999998</v>
      </c>
      <c r="AF257" s="5" t="s">
        <v>79</v>
      </c>
      <c r="AG257" s="81" t="s">
        <v>80</v>
      </c>
    </row>
    <row r="258" spans="1:33" s="99" customFormat="1" ht="11.4" customHeight="1" x14ac:dyDescent="0.3">
      <c r="A258" s="1" t="s">
        <v>34</v>
      </c>
      <c r="B258" s="43">
        <v>240</v>
      </c>
      <c r="C258" s="191">
        <v>16812</v>
      </c>
      <c r="D258" s="19">
        <v>2024</v>
      </c>
      <c r="E258" s="44" t="s">
        <v>35</v>
      </c>
      <c r="F258" s="45" t="s">
        <v>36</v>
      </c>
      <c r="G258" s="46">
        <v>45653</v>
      </c>
      <c r="H258" s="46">
        <v>46441</v>
      </c>
      <c r="I258" s="47" t="s">
        <v>88</v>
      </c>
      <c r="J258" s="48">
        <v>52490</v>
      </c>
      <c r="K258" s="97" t="s">
        <v>780</v>
      </c>
      <c r="L258" s="8" t="s">
        <v>70</v>
      </c>
      <c r="M258" s="62" t="s">
        <v>701</v>
      </c>
      <c r="N258" s="4" t="s">
        <v>795</v>
      </c>
      <c r="O258" s="49" t="s">
        <v>42</v>
      </c>
      <c r="P258" s="49" t="s">
        <v>132</v>
      </c>
      <c r="Q258" s="49" t="s">
        <v>44</v>
      </c>
      <c r="R258" s="50" t="s">
        <v>699</v>
      </c>
      <c r="S258" s="51">
        <v>0</v>
      </c>
      <c r="T258" s="51"/>
      <c r="U258" s="113">
        <v>2023856836</v>
      </c>
      <c r="V258" s="113"/>
      <c r="W258" s="53">
        <f>PROYECTOS_DIH[[#This Row],[VALOR DESEMBOLSOS PROYECTO]]/PROYECTOS_DIH[[#This Row],[Valor Proyecto Inicial.]]</f>
        <v>0</v>
      </c>
      <c r="X258" s="54">
        <v>0</v>
      </c>
      <c r="Y258" s="54" t="s">
        <v>1180</v>
      </c>
      <c r="Z258" s="55">
        <v>10000</v>
      </c>
      <c r="AA258" s="57" t="s">
        <v>796</v>
      </c>
      <c r="AB258" s="5" t="s">
        <v>1145</v>
      </c>
      <c r="AC258" s="56" t="s">
        <v>47</v>
      </c>
      <c r="AD258" s="59">
        <v>2.3475844879999999</v>
      </c>
      <c r="AE258" s="59">
        <v>-78.325618710000001</v>
      </c>
      <c r="AF258" s="5" t="s">
        <v>91</v>
      </c>
      <c r="AG258" s="77" t="s">
        <v>75</v>
      </c>
    </row>
    <row r="259" spans="1:33" s="99" customFormat="1" ht="11.4" customHeight="1" x14ac:dyDescent="0.3">
      <c r="A259" s="16" t="s">
        <v>725</v>
      </c>
      <c r="B259" s="43">
        <v>241</v>
      </c>
      <c r="C259" s="94">
        <v>16813</v>
      </c>
      <c r="D259" s="44">
        <v>2025</v>
      </c>
      <c r="E259" s="44" t="s">
        <v>303</v>
      </c>
      <c r="F259" s="45" t="s">
        <v>798</v>
      </c>
      <c r="G259" s="46">
        <v>45770</v>
      </c>
      <c r="H259" s="46">
        <v>46387</v>
      </c>
      <c r="I259" s="47" t="s">
        <v>166</v>
      </c>
      <c r="J259" s="48">
        <v>41503</v>
      </c>
      <c r="K259" s="140" t="s">
        <v>799</v>
      </c>
      <c r="L259" s="45" t="s">
        <v>39</v>
      </c>
      <c r="M259" s="45" t="s">
        <v>100</v>
      </c>
      <c r="N259" s="140" t="s">
        <v>800</v>
      </c>
      <c r="O259" s="49" t="s">
        <v>42</v>
      </c>
      <c r="P259" s="49" t="s">
        <v>132</v>
      </c>
      <c r="Q259" s="49" t="s">
        <v>44</v>
      </c>
      <c r="R259" s="50" t="s">
        <v>745</v>
      </c>
      <c r="S259" s="51">
        <v>0</v>
      </c>
      <c r="T259" s="51"/>
      <c r="U259" s="52">
        <v>639996366</v>
      </c>
      <c r="V259" s="52"/>
      <c r="W259" s="53">
        <f>PROYECTOS_DIH[[#This Row],[VALOR DESEMBOLSOS PROYECTO]]/PROYECTOS_DIH[[#This Row],[Valor Proyecto Inicial.]]</f>
        <v>0</v>
      </c>
      <c r="X259" s="54">
        <v>0</v>
      </c>
      <c r="Y259" s="54" t="s">
        <v>1180</v>
      </c>
      <c r="Z259" s="55">
        <v>5120</v>
      </c>
      <c r="AA259" s="57" t="s">
        <v>801</v>
      </c>
      <c r="AB259" s="5" t="s">
        <v>1155</v>
      </c>
      <c r="AC259" s="56" t="s">
        <v>62</v>
      </c>
      <c r="AD259" s="59">
        <v>2.0250540020000001</v>
      </c>
      <c r="AE259" s="59">
        <v>-75.995177810000001</v>
      </c>
      <c r="AF259" s="5" t="s">
        <v>172</v>
      </c>
      <c r="AG259" s="81" t="s">
        <v>80</v>
      </c>
    </row>
    <row r="260" spans="1:33" s="99" customFormat="1" ht="11.4" customHeight="1" x14ac:dyDescent="0.3">
      <c r="A260" s="16" t="s">
        <v>725</v>
      </c>
      <c r="B260" s="43">
        <v>242</v>
      </c>
      <c r="C260" s="94">
        <v>16815</v>
      </c>
      <c r="D260" s="44">
        <v>2025</v>
      </c>
      <c r="E260" s="44" t="s">
        <v>303</v>
      </c>
      <c r="F260" s="45" t="s">
        <v>802</v>
      </c>
      <c r="G260" s="46">
        <v>45771</v>
      </c>
      <c r="H260" s="46">
        <v>46387</v>
      </c>
      <c r="I260" s="47" t="s">
        <v>166</v>
      </c>
      <c r="J260" s="48">
        <v>41518</v>
      </c>
      <c r="K260" s="140" t="s">
        <v>803</v>
      </c>
      <c r="L260" s="45" t="s">
        <v>39</v>
      </c>
      <c r="M260" s="45" t="s">
        <v>126</v>
      </c>
      <c r="N260" s="140" t="s">
        <v>804</v>
      </c>
      <c r="O260" s="49" t="s">
        <v>42</v>
      </c>
      <c r="P260" s="49" t="s">
        <v>132</v>
      </c>
      <c r="Q260" s="49" t="s">
        <v>44</v>
      </c>
      <c r="R260" s="50" t="s">
        <v>745</v>
      </c>
      <c r="S260" s="51">
        <v>0</v>
      </c>
      <c r="T260" s="51"/>
      <c r="U260" s="52">
        <v>2523647472</v>
      </c>
      <c r="V260" s="52"/>
      <c r="W260" s="53">
        <f>PROYECTOS_DIH[[#This Row],[VALOR DESEMBOLSOS PROYECTO]]/PROYECTOS_DIH[[#This Row],[Valor Proyecto Inicial.]]</f>
        <v>0</v>
      </c>
      <c r="X260" s="54">
        <v>0</v>
      </c>
      <c r="Y260" s="54" t="s">
        <v>1180</v>
      </c>
      <c r="Z260" s="55">
        <v>962</v>
      </c>
      <c r="AA260" s="57" t="s">
        <v>805</v>
      </c>
      <c r="AB260" s="5" t="s">
        <v>1155</v>
      </c>
      <c r="AC260" s="56" t="s">
        <v>62</v>
      </c>
      <c r="AD260" s="59">
        <v>2.449548949</v>
      </c>
      <c r="AE260" s="59">
        <v>-75.77299232</v>
      </c>
      <c r="AF260" s="5" t="s">
        <v>172</v>
      </c>
      <c r="AG260" s="81" t="s">
        <v>80</v>
      </c>
    </row>
    <row r="261" spans="1:33" s="99" customFormat="1" ht="11.4" customHeight="1" x14ac:dyDescent="0.3">
      <c r="A261" s="16" t="s">
        <v>725</v>
      </c>
      <c r="B261" s="43">
        <v>243</v>
      </c>
      <c r="C261" s="94">
        <v>16816</v>
      </c>
      <c r="D261" s="44">
        <v>2025</v>
      </c>
      <c r="E261" s="44" t="s">
        <v>303</v>
      </c>
      <c r="F261" s="45" t="s">
        <v>806</v>
      </c>
      <c r="G261" s="46">
        <v>45770</v>
      </c>
      <c r="H261" s="46">
        <v>46387</v>
      </c>
      <c r="I261" s="47" t="s">
        <v>166</v>
      </c>
      <c r="J261" s="48">
        <v>41524</v>
      </c>
      <c r="K261" s="140" t="s">
        <v>789</v>
      </c>
      <c r="L261" s="45" t="s">
        <v>39</v>
      </c>
      <c r="M261" s="45" t="s">
        <v>126</v>
      </c>
      <c r="N261" s="140" t="s">
        <v>807</v>
      </c>
      <c r="O261" s="49" t="s">
        <v>42</v>
      </c>
      <c r="P261" s="49" t="s">
        <v>132</v>
      </c>
      <c r="Q261" s="49" t="s">
        <v>44</v>
      </c>
      <c r="R261" s="50" t="s">
        <v>745</v>
      </c>
      <c r="S261" s="51">
        <v>0</v>
      </c>
      <c r="T261" s="51"/>
      <c r="U261" s="52">
        <v>2192184300</v>
      </c>
      <c r="V261" s="52"/>
      <c r="W261" s="53">
        <f>PROYECTOS_DIH[[#This Row],[VALOR DESEMBOLSOS PROYECTO]]/PROYECTOS_DIH[[#This Row],[Valor Proyecto Inicial.]]</f>
        <v>0</v>
      </c>
      <c r="X261" s="54">
        <v>0</v>
      </c>
      <c r="Y261" s="54" t="s">
        <v>1180</v>
      </c>
      <c r="Z261" s="55">
        <v>13272</v>
      </c>
      <c r="AA261" s="57" t="s">
        <v>808</v>
      </c>
      <c r="AB261" s="5" t="s">
        <v>1155</v>
      </c>
      <c r="AC261" s="56" t="s">
        <v>62</v>
      </c>
      <c r="AD261" s="59">
        <v>2.8884062359999998</v>
      </c>
      <c r="AE261" s="59">
        <v>-75.433719120000006</v>
      </c>
      <c r="AF261" s="5" t="s">
        <v>172</v>
      </c>
      <c r="AG261" s="81" t="s">
        <v>80</v>
      </c>
    </row>
    <row r="262" spans="1:33" s="99" customFormat="1" ht="11.4" customHeight="1" x14ac:dyDescent="0.3">
      <c r="A262" s="16" t="s">
        <v>725</v>
      </c>
      <c r="B262" s="43">
        <v>244</v>
      </c>
      <c r="C262" s="94">
        <v>16817</v>
      </c>
      <c r="D262" s="44">
        <v>2025</v>
      </c>
      <c r="E262" s="44" t="s">
        <v>303</v>
      </c>
      <c r="F262" s="45" t="s">
        <v>809</v>
      </c>
      <c r="G262" s="46">
        <v>45770</v>
      </c>
      <c r="H262" s="46">
        <v>46387</v>
      </c>
      <c r="I262" s="47" t="s">
        <v>166</v>
      </c>
      <c r="J262" s="48">
        <v>41530</v>
      </c>
      <c r="K262" s="140" t="s">
        <v>810</v>
      </c>
      <c r="L262" s="45" t="s">
        <v>39</v>
      </c>
      <c r="M262" s="45" t="s">
        <v>126</v>
      </c>
      <c r="N262" s="140" t="s">
        <v>811</v>
      </c>
      <c r="O262" s="49" t="s">
        <v>42</v>
      </c>
      <c r="P262" s="49" t="s">
        <v>132</v>
      </c>
      <c r="Q262" s="49" t="s">
        <v>44</v>
      </c>
      <c r="R262" s="50" t="s">
        <v>745</v>
      </c>
      <c r="S262" s="51">
        <v>0</v>
      </c>
      <c r="T262" s="51"/>
      <c r="U262" s="52">
        <v>2830990695</v>
      </c>
      <c r="V262" s="52"/>
      <c r="W262" s="53">
        <f>PROYECTOS_DIH[[#This Row],[VALOR DESEMBOLSOS PROYECTO]]/PROYECTOS_DIH[[#This Row],[Valor Proyecto Inicial.]]</f>
        <v>0</v>
      </c>
      <c r="X262" s="54">
        <v>0</v>
      </c>
      <c r="Y262" s="54" t="s">
        <v>1180</v>
      </c>
      <c r="Z262" s="55">
        <v>10443</v>
      </c>
      <c r="AA262" s="57" t="s">
        <v>812</v>
      </c>
      <c r="AB262" s="5" t="s">
        <v>1155</v>
      </c>
      <c r="AC262" s="56" t="s">
        <v>62</v>
      </c>
      <c r="AD262" s="59">
        <v>1.7234441810000001</v>
      </c>
      <c r="AE262" s="59">
        <v>-76.133122349999994</v>
      </c>
      <c r="AF262" s="5" t="s">
        <v>172</v>
      </c>
      <c r="AG262" s="81" t="s">
        <v>80</v>
      </c>
    </row>
    <row r="263" spans="1:33" s="99" customFormat="1" ht="11.4" customHeight="1" x14ac:dyDescent="0.3">
      <c r="A263" s="1" t="s">
        <v>34</v>
      </c>
      <c r="B263" s="43">
        <v>246</v>
      </c>
      <c r="C263" s="191">
        <v>16823</v>
      </c>
      <c r="D263" s="19">
        <v>2024</v>
      </c>
      <c r="E263" s="44" t="s">
        <v>35</v>
      </c>
      <c r="F263" s="45" t="s">
        <v>36</v>
      </c>
      <c r="G263" s="46">
        <v>45653</v>
      </c>
      <c r="H263" s="46">
        <v>46441</v>
      </c>
      <c r="I263" s="47" t="s">
        <v>604</v>
      </c>
      <c r="J263" s="48">
        <v>85250</v>
      </c>
      <c r="K263" s="4" t="s">
        <v>816</v>
      </c>
      <c r="L263" s="8" t="s">
        <v>70</v>
      </c>
      <c r="M263" s="62" t="s">
        <v>701</v>
      </c>
      <c r="N263" s="4" t="s">
        <v>817</v>
      </c>
      <c r="O263" s="49" t="s">
        <v>42</v>
      </c>
      <c r="P263" s="49"/>
      <c r="Q263" s="49" t="s">
        <v>44</v>
      </c>
      <c r="R263" s="50" t="s">
        <v>818</v>
      </c>
      <c r="S263" s="51">
        <v>0</v>
      </c>
      <c r="T263" s="51"/>
      <c r="U263" s="113">
        <v>3915000000</v>
      </c>
      <c r="V263" s="113"/>
      <c r="W263" s="53">
        <f>PROYECTOS_DIH[[#This Row],[VALOR DESEMBOLSOS PROYECTO]]/PROYECTOS_DIH[[#This Row],[Valor Proyecto Inicial.]]</f>
        <v>0</v>
      </c>
      <c r="X263" s="54">
        <v>0</v>
      </c>
      <c r="Y263" s="54" t="s">
        <v>1180</v>
      </c>
      <c r="Z263" s="55">
        <v>38500</v>
      </c>
      <c r="AA263" s="57" t="s">
        <v>819</v>
      </c>
      <c r="AB263" s="5" t="s">
        <v>1163</v>
      </c>
      <c r="AC263" s="56" t="s">
        <v>96</v>
      </c>
      <c r="AD263" s="59">
        <v>5.8800365699999997</v>
      </c>
      <c r="AE263" s="59">
        <v>-71.890923959999995</v>
      </c>
      <c r="AF263" s="5" t="s">
        <v>607</v>
      </c>
      <c r="AG263" s="120" t="s">
        <v>353</v>
      </c>
    </row>
    <row r="264" spans="1:33" s="99" customFormat="1" ht="11.4" customHeight="1" x14ac:dyDescent="0.3">
      <c r="A264" s="1" t="s">
        <v>34</v>
      </c>
      <c r="B264" s="43">
        <v>247</v>
      </c>
      <c r="C264" s="191">
        <v>16827</v>
      </c>
      <c r="D264" s="19">
        <v>2024</v>
      </c>
      <c r="E264" s="44" t="s">
        <v>35</v>
      </c>
      <c r="F264" s="45" t="s">
        <v>36</v>
      </c>
      <c r="G264" s="46">
        <v>45653</v>
      </c>
      <c r="H264" s="46">
        <v>46441</v>
      </c>
      <c r="I264" s="47" t="s">
        <v>386</v>
      </c>
      <c r="J264" s="48">
        <v>20570</v>
      </c>
      <c r="K264" s="97" t="s">
        <v>414</v>
      </c>
      <c r="L264" s="45" t="s">
        <v>39</v>
      </c>
      <c r="M264" s="45" t="s">
        <v>126</v>
      </c>
      <c r="N264" s="4" t="s">
        <v>820</v>
      </c>
      <c r="O264" s="49" t="s">
        <v>42</v>
      </c>
      <c r="P264" s="49"/>
      <c r="Q264" s="49" t="s">
        <v>44</v>
      </c>
      <c r="R264" s="50" t="s">
        <v>821</v>
      </c>
      <c r="S264" s="51">
        <v>0</v>
      </c>
      <c r="T264" s="51"/>
      <c r="U264" s="52">
        <v>5000000000</v>
      </c>
      <c r="V264" s="52"/>
      <c r="W264" s="53">
        <f>PROYECTOS_DIH[[#This Row],[VALOR DESEMBOLSOS PROYECTO]]/PROYECTOS_DIH[[#This Row],[Valor Proyecto Inicial.]]</f>
        <v>0</v>
      </c>
      <c r="X264" s="54">
        <v>0</v>
      </c>
      <c r="Y264" s="54" t="s">
        <v>1180</v>
      </c>
      <c r="Z264" s="55">
        <v>25000</v>
      </c>
      <c r="AA264" s="57" t="s">
        <v>822</v>
      </c>
      <c r="AB264" s="5" t="s">
        <v>1143</v>
      </c>
      <c r="AC264" s="56" t="s">
        <v>47</v>
      </c>
      <c r="AD264" s="59">
        <v>10.4150616</v>
      </c>
      <c r="AE264" s="59">
        <v>-73.589010619999996</v>
      </c>
      <c r="AF264" s="5" t="s">
        <v>389</v>
      </c>
      <c r="AG264" s="71" t="s">
        <v>64</v>
      </c>
    </row>
    <row r="265" spans="1:33" s="99" customFormat="1" ht="11.4" customHeight="1" x14ac:dyDescent="0.3">
      <c r="A265" s="1" t="s">
        <v>34</v>
      </c>
      <c r="B265" s="43">
        <v>249</v>
      </c>
      <c r="C265" s="191">
        <v>16828</v>
      </c>
      <c r="D265" s="19">
        <v>2024</v>
      </c>
      <c r="E265" s="44" t="s">
        <v>35</v>
      </c>
      <c r="F265" s="45" t="s">
        <v>36</v>
      </c>
      <c r="G265" s="46">
        <v>45653</v>
      </c>
      <c r="H265" s="46">
        <v>46441</v>
      </c>
      <c r="I265" s="47" t="s">
        <v>189</v>
      </c>
      <c r="J265" s="48">
        <v>5490</v>
      </c>
      <c r="K265" s="4" t="s">
        <v>375</v>
      </c>
      <c r="L265" s="45" t="s">
        <v>39</v>
      </c>
      <c r="M265" s="4" t="s">
        <v>40</v>
      </c>
      <c r="N265" s="4" t="s">
        <v>825</v>
      </c>
      <c r="O265" s="49" t="s">
        <v>42</v>
      </c>
      <c r="P265" s="49"/>
      <c r="Q265" s="49" t="s">
        <v>44</v>
      </c>
      <c r="R265" s="50" t="s">
        <v>826</v>
      </c>
      <c r="S265" s="51">
        <v>0</v>
      </c>
      <c r="T265" s="51"/>
      <c r="U265" s="52">
        <v>5423543217</v>
      </c>
      <c r="V265" s="52"/>
      <c r="W265" s="53">
        <f>PROYECTOS_DIH[[#This Row],[VALOR DESEMBOLSOS PROYECTO]]/PROYECTOS_DIH[[#This Row],[Valor Proyecto Inicial.]]</f>
        <v>0</v>
      </c>
      <c r="X265" s="54">
        <v>0</v>
      </c>
      <c r="Y265" s="54" t="s">
        <v>1180</v>
      </c>
      <c r="Z265" s="55">
        <v>60000</v>
      </c>
      <c r="AA265" s="57" t="s">
        <v>827</v>
      </c>
      <c r="AB265" s="5" t="s">
        <v>1141</v>
      </c>
      <c r="AC265" s="56" t="s">
        <v>47</v>
      </c>
      <c r="AD265" s="59">
        <v>8.426135983</v>
      </c>
      <c r="AE265" s="59">
        <v>-76.784574500000005</v>
      </c>
      <c r="AF265" s="5" t="s">
        <v>48</v>
      </c>
      <c r="AG265" s="60" t="s">
        <v>49</v>
      </c>
    </row>
    <row r="266" spans="1:33" s="99" customFormat="1" ht="11.4" customHeight="1" x14ac:dyDescent="0.3">
      <c r="A266" s="1" t="s">
        <v>34</v>
      </c>
      <c r="B266" s="43">
        <v>250</v>
      </c>
      <c r="C266" s="191">
        <v>16830</v>
      </c>
      <c r="D266" s="19">
        <v>2024</v>
      </c>
      <c r="E266" s="44" t="s">
        <v>35</v>
      </c>
      <c r="F266" s="45" t="s">
        <v>36</v>
      </c>
      <c r="G266" s="46">
        <v>45653</v>
      </c>
      <c r="H266" s="46">
        <v>46441</v>
      </c>
      <c r="I266" s="47" t="s">
        <v>377</v>
      </c>
      <c r="J266" s="48">
        <v>86568</v>
      </c>
      <c r="K266" s="96" t="s">
        <v>611</v>
      </c>
      <c r="L266" s="45" t="s">
        <v>39</v>
      </c>
      <c r="M266" s="62" t="s">
        <v>828</v>
      </c>
      <c r="N266" s="4" t="s">
        <v>829</v>
      </c>
      <c r="O266" s="49" t="s">
        <v>42</v>
      </c>
      <c r="P266" s="49" t="s">
        <v>132</v>
      </c>
      <c r="Q266" s="49" t="s">
        <v>44</v>
      </c>
      <c r="R266" s="50" t="s">
        <v>699</v>
      </c>
      <c r="S266" s="51">
        <v>0</v>
      </c>
      <c r="T266" s="51"/>
      <c r="U266" s="113">
        <v>350000000</v>
      </c>
      <c r="V266" s="113"/>
      <c r="W266" s="53">
        <f>PROYECTOS_DIH[[#This Row],[VALOR DESEMBOLSOS PROYECTO]]/PROYECTOS_DIH[[#This Row],[Valor Proyecto Inicial.]]</f>
        <v>0</v>
      </c>
      <c r="X266" s="54">
        <v>0</v>
      </c>
      <c r="Y266" s="54" t="s">
        <v>1180</v>
      </c>
      <c r="Z266" s="55">
        <v>15000</v>
      </c>
      <c r="AA266" s="57" t="s">
        <v>830</v>
      </c>
      <c r="AB266" s="5" t="s">
        <v>1150</v>
      </c>
      <c r="AC266" s="56" t="s">
        <v>47</v>
      </c>
      <c r="AD266" s="59">
        <v>0.505046722</v>
      </c>
      <c r="AE266" s="59">
        <v>-76.497272850000002</v>
      </c>
      <c r="AF266" s="5" t="s">
        <v>381</v>
      </c>
      <c r="AG266" s="81" t="s">
        <v>80</v>
      </c>
    </row>
    <row r="267" spans="1:33" s="99" customFormat="1" ht="11.4" customHeight="1" x14ac:dyDescent="0.3">
      <c r="A267" s="1" t="s">
        <v>34</v>
      </c>
      <c r="B267" s="43">
        <v>252</v>
      </c>
      <c r="C267" s="191">
        <v>16832</v>
      </c>
      <c r="D267" s="19">
        <v>2024</v>
      </c>
      <c r="E267" s="44" t="s">
        <v>35</v>
      </c>
      <c r="F267" s="45" t="s">
        <v>36</v>
      </c>
      <c r="G267" s="46">
        <v>45653</v>
      </c>
      <c r="H267" s="46">
        <v>46441</v>
      </c>
      <c r="I267" s="47" t="s">
        <v>268</v>
      </c>
      <c r="J267" s="48">
        <v>19573</v>
      </c>
      <c r="K267" s="4" t="s">
        <v>836</v>
      </c>
      <c r="L267" s="8" t="s">
        <v>70</v>
      </c>
      <c r="M267" s="62" t="s">
        <v>701</v>
      </c>
      <c r="N267" s="4" t="s">
        <v>837</v>
      </c>
      <c r="O267" s="49" t="s">
        <v>42</v>
      </c>
      <c r="P267" s="49" t="s">
        <v>43</v>
      </c>
      <c r="Q267" s="49" t="s">
        <v>44</v>
      </c>
      <c r="R267" s="50" t="s">
        <v>838</v>
      </c>
      <c r="S267" s="51">
        <v>0</v>
      </c>
      <c r="T267" s="51"/>
      <c r="U267" s="113">
        <v>23000000000</v>
      </c>
      <c r="V267" s="113"/>
      <c r="W267" s="53">
        <f>PROYECTOS_DIH[[#This Row],[VALOR DESEMBOLSOS PROYECTO]]/PROYECTOS_DIH[[#This Row],[Valor Proyecto Inicial.]]</f>
        <v>0</v>
      </c>
      <c r="X267" s="54">
        <v>0</v>
      </c>
      <c r="Y267" s="54" t="s">
        <v>1180</v>
      </c>
      <c r="Z267" s="55">
        <v>40000</v>
      </c>
      <c r="AA267" s="57" t="s">
        <v>839</v>
      </c>
      <c r="AB267" s="5" t="s">
        <v>1138</v>
      </c>
      <c r="AC267" s="56" t="s">
        <v>62</v>
      </c>
      <c r="AD267" s="59">
        <v>3.2332941270000002</v>
      </c>
      <c r="AE267" s="59">
        <v>-76.417307800000003</v>
      </c>
      <c r="AF267" s="5" t="s">
        <v>272</v>
      </c>
      <c r="AG267" s="71" t="s">
        <v>75</v>
      </c>
    </row>
    <row r="268" spans="1:33" s="99" customFormat="1" ht="11.4" customHeight="1" x14ac:dyDescent="0.3">
      <c r="A268" s="1" t="s">
        <v>34</v>
      </c>
      <c r="B268" s="43">
        <v>253</v>
      </c>
      <c r="C268" s="191">
        <v>16834</v>
      </c>
      <c r="D268" s="19">
        <v>2024</v>
      </c>
      <c r="E268" s="44" t="s">
        <v>35</v>
      </c>
      <c r="F268" s="45" t="s">
        <v>36</v>
      </c>
      <c r="G268" s="46">
        <v>45653</v>
      </c>
      <c r="H268" s="46">
        <v>46441</v>
      </c>
      <c r="I268" s="47" t="s">
        <v>37</v>
      </c>
      <c r="J268" s="145">
        <v>27001</v>
      </c>
      <c r="K268" s="97" t="s">
        <v>840</v>
      </c>
      <c r="L268" s="4" t="s">
        <v>77</v>
      </c>
      <c r="M268" s="4" t="s">
        <v>26</v>
      </c>
      <c r="N268" s="4" t="s">
        <v>841</v>
      </c>
      <c r="O268" s="49" t="s">
        <v>42</v>
      </c>
      <c r="P268" s="49" t="s">
        <v>132</v>
      </c>
      <c r="Q268" s="49" t="s">
        <v>44</v>
      </c>
      <c r="R268" s="50" t="s">
        <v>842</v>
      </c>
      <c r="S268" s="51">
        <v>0</v>
      </c>
      <c r="T268" s="51"/>
      <c r="U268" s="52">
        <v>1216800000</v>
      </c>
      <c r="V268" s="52"/>
      <c r="W268" s="53">
        <f>PROYECTOS_DIH[[#This Row],[VALOR DESEMBOLSOS PROYECTO]]/PROYECTOS_DIH[[#This Row],[Valor Proyecto Inicial.]]</f>
        <v>0</v>
      </c>
      <c r="X268" s="54">
        <v>0</v>
      </c>
      <c r="Y268" s="54" t="s">
        <v>1180</v>
      </c>
      <c r="Z268" s="55">
        <v>120</v>
      </c>
      <c r="AA268" s="57" t="s">
        <v>843</v>
      </c>
      <c r="AB268" s="5" t="s">
        <v>1153</v>
      </c>
      <c r="AC268" s="56" t="s">
        <v>96</v>
      </c>
      <c r="AD268" s="59">
        <v>5.6921951870000003</v>
      </c>
      <c r="AE268" s="59">
        <v>-76.625969359999999</v>
      </c>
      <c r="AF268" s="5" t="s">
        <v>330</v>
      </c>
      <c r="AG268" s="77" t="s">
        <v>75</v>
      </c>
    </row>
    <row r="269" spans="1:33" s="99" customFormat="1" ht="11.4" customHeight="1" x14ac:dyDescent="0.3">
      <c r="A269" s="1" t="s">
        <v>34</v>
      </c>
      <c r="B269" s="43">
        <v>254</v>
      </c>
      <c r="C269" s="191">
        <v>16835</v>
      </c>
      <c r="D269" s="19">
        <v>2024</v>
      </c>
      <c r="E269" s="44" t="s">
        <v>35</v>
      </c>
      <c r="F269" s="45" t="s">
        <v>36</v>
      </c>
      <c r="G269" s="46">
        <v>45653</v>
      </c>
      <c r="H269" s="46">
        <v>46441</v>
      </c>
      <c r="I269" s="47" t="s">
        <v>37</v>
      </c>
      <c r="J269" s="145">
        <v>27001</v>
      </c>
      <c r="K269" s="97" t="s">
        <v>840</v>
      </c>
      <c r="L269" s="4" t="s">
        <v>77</v>
      </c>
      <c r="M269" s="4" t="s">
        <v>26</v>
      </c>
      <c r="N269" s="4" t="s">
        <v>844</v>
      </c>
      <c r="O269" s="49" t="s">
        <v>42</v>
      </c>
      <c r="P269" s="49" t="s">
        <v>132</v>
      </c>
      <c r="Q269" s="49" t="s">
        <v>44</v>
      </c>
      <c r="R269" s="50" t="s">
        <v>842</v>
      </c>
      <c r="S269" s="51">
        <v>0</v>
      </c>
      <c r="T269" s="51"/>
      <c r="U269" s="52">
        <v>1500097055</v>
      </c>
      <c r="V269" s="52"/>
      <c r="W269" s="53">
        <f>PROYECTOS_DIH[[#This Row],[VALOR DESEMBOLSOS PROYECTO]]/PROYECTOS_DIH[[#This Row],[Valor Proyecto Inicial.]]</f>
        <v>0</v>
      </c>
      <c r="X269" s="54">
        <v>0</v>
      </c>
      <c r="Y269" s="54" t="s">
        <v>1180</v>
      </c>
      <c r="Z269" s="55">
        <v>300</v>
      </c>
      <c r="AA269" s="57" t="s">
        <v>845</v>
      </c>
      <c r="AB269" s="5" t="s">
        <v>1153</v>
      </c>
      <c r="AC269" s="56" t="s">
        <v>96</v>
      </c>
      <c r="AD269" s="59">
        <v>5.6921951870000003</v>
      </c>
      <c r="AE269" s="59">
        <v>-76.625969359999999</v>
      </c>
      <c r="AF269" s="5" t="s">
        <v>330</v>
      </c>
      <c r="AG269" s="77" t="s">
        <v>75</v>
      </c>
    </row>
    <row r="270" spans="1:33" s="99" customFormat="1" ht="11.4" customHeight="1" x14ac:dyDescent="0.3">
      <c r="A270" s="1" t="s">
        <v>34</v>
      </c>
      <c r="B270" s="43">
        <v>100</v>
      </c>
      <c r="C270" s="191">
        <v>16836</v>
      </c>
      <c r="D270" s="19">
        <v>2024</v>
      </c>
      <c r="E270" s="44" t="s">
        <v>35</v>
      </c>
      <c r="F270" s="45" t="s">
        <v>36</v>
      </c>
      <c r="G270" s="46">
        <v>45653</v>
      </c>
      <c r="H270" s="46">
        <v>46441</v>
      </c>
      <c r="I270" s="47" t="s">
        <v>68</v>
      </c>
      <c r="J270" s="48">
        <v>76001</v>
      </c>
      <c r="K270" s="97" t="s">
        <v>445</v>
      </c>
      <c r="L270" s="45" t="s">
        <v>55</v>
      </c>
      <c r="M270" s="46" t="s">
        <v>449</v>
      </c>
      <c r="N270" s="4" t="s">
        <v>450</v>
      </c>
      <c r="O270" s="49" t="s">
        <v>42</v>
      </c>
      <c r="P270" s="49"/>
      <c r="Q270" s="45" t="s">
        <v>120</v>
      </c>
      <c r="R270" s="131" t="s">
        <v>227</v>
      </c>
      <c r="S270" s="51">
        <v>0</v>
      </c>
      <c r="T270" s="51"/>
      <c r="U270" s="132">
        <v>12179248890</v>
      </c>
      <c r="V270" s="132"/>
      <c r="W270" s="53">
        <f>PROYECTOS_DIH[[#This Row],[VALOR DESEMBOLSOS PROYECTO]]/PROYECTOS_DIH[[#This Row],[Valor Proyecto Inicial.]]</f>
        <v>0</v>
      </c>
      <c r="X270" s="54">
        <v>0</v>
      </c>
      <c r="Y270" s="54" t="s">
        <v>1180</v>
      </c>
      <c r="Z270" s="55"/>
      <c r="AA270" s="57" t="s">
        <v>448</v>
      </c>
      <c r="AB270" s="5" t="s">
        <v>1137</v>
      </c>
      <c r="AC270" s="56" t="s">
        <v>62</v>
      </c>
      <c r="AD270" s="59">
        <v>3.4144143050000002</v>
      </c>
      <c r="AE270" s="59">
        <v>-76.521565150000001</v>
      </c>
      <c r="AF270" s="5" t="s">
        <v>74</v>
      </c>
      <c r="AG270" s="77" t="s">
        <v>75</v>
      </c>
    </row>
    <row r="271" spans="1:33" s="99" customFormat="1" ht="11.4" customHeight="1" x14ac:dyDescent="0.3">
      <c r="A271" s="1" t="s">
        <v>34</v>
      </c>
      <c r="B271" s="43">
        <v>255</v>
      </c>
      <c r="C271" s="191">
        <v>16837</v>
      </c>
      <c r="D271" s="19">
        <v>2024</v>
      </c>
      <c r="E271" s="44" t="s">
        <v>35</v>
      </c>
      <c r="F271" s="45" t="s">
        <v>36</v>
      </c>
      <c r="G271" s="46">
        <v>45653</v>
      </c>
      <c r="H271" s="46">
        <v>46441</v>
      </c>
      <c r="I271" s="47" t="s">
        <v>111</v>
      </c>
      <c r="J271" s="48">
        <v>44001</v>
      </c>
      <c r="K271" s="137" t="s">
        <v>846</v>
      </c>
      <c r="L271" s="112" t="s">
        <v>70</v>
      </c>
      <c r="M271" s="62" t="s">
        <v>701</v>
      </c>
      <c r="N271" s="4" t="s">
        <v>847</v>
      </c>
      <c r="O271" s="45" t="s">
        <v>42</v>
      </c>
      <c r="P271" s="49" t="s">
        <v>42</v>
      </c>
      <c r="Q271" s="49" t="s">
        <v>170</v>
      </c>
      <c r="R271" s="50" t="s">
        <v>231</v>
      </c>
      <c r="S271" s="51">
        <v>0</v>
      </c>
      <c r="T271" s="51"/>
      <c r="U271" s="113">
        <v>19300000000</v>
      </c>
      <c r="V271" s="113"/>
      <c r="W271" s="53">
        <f>PROYECTOS_DIH[[#This Row],[VALOR DESEMBOLSOS PROYECTO]]/PROYECTOS_DIH[[#This Row],[Valor Proyecto Inicial.]]</f>
        <v>0</v>
      </c>
      <c r="X271" s="54">
        <v>0</v>
      </c>
      <c r="Y271" s="54" t="s">
        <v>1180</v>
      </c>
      <c r="Z271" s="55">
        <v>200000</v>
      </c>
      <c r="AA271" s="57" t="s">
        <v>848</v>
      </c>
      <c r="AB271" s="5" t="s">
        <v>1144</v>
      </c>
      <c r="AC271" s="56" t="s">
        <v>96</v>
      </c>
      <c r="AD271" s="59">
        <v>11.528751379999999</v>
      </c>
      <c r="AE271" s="59">
        <v>-72.911488910000003</v>
      </c>
      <c r="AF271" s="5" t="s">
        <v>113</v>
      </c>
      <c r="AG271" s="71" t="s">
        <v>64</v>
      </c>
    </row>
    <row r="272" spans="1:33" s="99" customFormat="1" ht="11.4" customHeight="1" x14ac:dyDescent="0.3">
      <c r="A272" s="1" t="s">
        <v>34</v>
      </c>
      <c r="B272" s="43">
        <v>256</v>
      </c>
      <c r="C272" s="191">
        <v>16838</v>
      </c>
      <c r="D272" s="19">
        <v>2024</v>
      </c>
      <c r="E272" s="44" t="s">
        <v>35</v>
      </c>
      <c r="F272" s="45" t="s">
        <v>36</v>
      </c>
      <c r="G272" s="46">
        <v>45653</v>
      </c>
      <c r="H272" s="46">
        <v>46441</v>
      </c>
      <c r="I272" s="47" t="s">
        <v>37</v>
      </c>
      <c r="J272" s="145">
        <v>27615</v>
      </c>
      <c r="K272" s="4" t="s">
        <v>849</v>
      </c>
      <c r="L272" s="4" t="s">
        <v>77</v>
      </c>
      <c r="M272" s="4" t="s">
        <v>26</v>
      </c>
      <c r="N272" s="4" t="s">
        <v>850</v>
      </c>
      <c r="O272" s="49" t="s">
        <v>42</v>
      </c>
      <c r="P272" s="49" t="s">
        <v>132</v>
      </c>
      <c r="Q272" s="49" t="s">
        <v>44</v>
      </c>
      <c r="R272" s="50" t="s">
        <v>851</v>
      </c>
      <c r="S272" s="51">
        <v>0</v>
      </c>
      <c r="T272" s="51"/>
      <c r="U272" s="52">
        <v>2129400000</v>
      </c>
      <c r="V272" s="52"/>
      <c r="W272" s="53">
        <f>PROYECTOS_DIH[[#This Row],[VALOR DESEMBOLSOS PROYECTO]]/PROYECTOS_DIH[[#This Row],[Valor Proyecto Inicial.]]</f>
        <v>0</v>
      </c>
      <c r="X272" s="54">
        <v>0</v>
      </c>
      <c r="Y272" s="54" t="s">
        <v>1180</v>
      </c>
      <c r="Z272" s="55">
        <v>210</v>
      </c>
      <c r="AA272" s="57" t="s">
        <v>852</v>
      </c>
      <c r="AB272" s="5" t="s">
        <v>1141</v>
      </c>
      <c r="AC272" s="56" t="s">
        <v>47</v>
      </c>
      <c r="AD272" s="59">
        <v>7.4366315519999997</v>
      </c>
      <c r="AE272" s="59">
        <v>-77.113109589999993</v>
      </c>
      <c r="AF272" s="5" t="s">
        <v>48</v>
      </c>
      <c r="AG272" s="60" t="s">
        <v>49</v>
      </c>
    </row>
    <row r="273" spans="1:33" s="99" customFormat="1" ht="11.4" customHeight="1" x14ac:dyDescent="0.3">
      <c r="A273" s="16" t="s">
        <v>725</v>
      </c>
      <c r="B273" s="43">
        <v>257</v>
      </c>
      <c r="C273" s="94">
        <v>16839</v>
      </c>
      <c r="D273" s="44">
        <v>2025</v>
      </c>
      <c r="E273" s="44" t="s">
        <v>303</v>
      </c>
      <c r="F273" s="45" t="s">
        <v>853</v>
      </c>
      <c r="G273" s="46">
        <v>45770</v>
      </c>
      <c r="H273" s="46">
        <v>46387</v>
      </c>
      <c r="I273" s="47" t="s">
        <v>166</v>
      </c>
      <c r="J273" s="48">
        <v>41615</v>
      </c>
      <c r="K273" s="140" t="s">
        <v>854</v>
      </c>
      <c r="L273" s="45" t="s">
        <v>39</v>
      </c>
      <c r="M273" s="45" t="s">
        <v>126</v>
      </c>
      <c r="N273" s="140" t="s">
        <v>855</v>
      </c>
      <c r="O273" s="49" t="s">
        <v>42</v>
      </c>
      <c r="P273" s="49" t="s">
        <v>132</v>
      </c>
      <c r="Q273" s="49" t="s">
        <v>44</v>
      </c>
      <c r="R273" s="50" t="s">
        <v>745</v>
      </c>
      <c r="S273" s="51">
        <v>0</v>
      </c>
      <c r="T273" s="51"/>
      <c r="U273" s="52">
        <v>2019753598</v>
      </c>
      <c r="V273" s="52"/>
      <c r="W273" s="53">
        <f>PROYECTOS_DIH[[#This Row],[VALOR DESEMBOLSOS PROYECTO]]/PROYECTOS_DIH[[#This Row],[Valor Proyecto Inicial.]]</f>
        <v>0</v>
      </c>
      <c r="X273" s="54">
        <v>0</v>
      </c>
      <c r="Y273" s="54" t="s">
        <v>1180</v>
      </c>
      <c r="Z273" s="55">
        <v>4729</v>
      </c>
      <c r="AA273" s="57" t="s">
        <v>856</v>
      </c>
      <c r="AB273" s="5" t="s">
        <v>1155</v>
      </c>
      <c r="AC273" s="56" t="s">
        <v>62</v>
      </c>
      <c r="AD273" s="59">
        <v>2.7775705159999999</v>
      </c>
      <c r="AE273" s="59">
        <v>-75.258546719999998</v>
      </c>
      <c r="AF273" s="5" t="s">
        <v>172</v>
      </c>
      <c r="AG273" s="81" t="s">
        <v>80</v>
      </c>
    </row>
    <row r="274" spans="1:33" s="99" customFormat="1" ht="11.4" customHeight="1" x14ac:dyDescent="0.3">
      <c r="A274" s="16" t="s">
        <v>725</v>
      </c>
      <c r="B274" s="43">
        <v>258</v>
      </c>
      <c r="C274" s="94">
        <v>16840</v>
      </c>
      <c r="D274" s="44">
        <v>2025</v>
      </c>
      <c r="E274" s="44" t="s">
        <v>303</v>
      </c>
      <c r="F274" s="45" t="s">
        <v>857</v>
      </c>
      <c r="G274" s="46">
        <v>45770</v>
      </c>
      <c r="H274" s="46">
        <v>46387</v>
      </c>
      <c r="I274" s="47" t="s">
        <v>166</v>
      </c>
      <c r="J274" s="48">
        <v>41660</v>
      </c>
      <c r="K274" s="140" t="s">
        <v>858</v>
      </c>
      <c r="L274" s="45" t="s">
        <v>39</v>
      </c>
      <c r="M274" s="45" t="s">
        <v>126</v>
      </c>
      <c r="N274" s="140" t="s">
        <v>859</v>
      </c>
      <c r="O274" s="49" t="s">
        <v>42</v>
      </c>
      <c r="P274" s="49" t="s">
        <v>132</v>
      </c>
      <c r="Q274" s="49" t="s">
        <v>44</v>
      </c>
      <c r="R274" s="50" t="s">
        <v>745</v>
      </c>
      <c r="S274" s="51">
        <v>0</v>
      </c>
      <c r="T274" s="51"/>
      <c r="U274" s="52">
        <v>1737119019</v>
      </c>
      <c r="V274" s="52"/>
      <c r="W274" s="53">
        <f>PROYECTOS_DIH[[#This Row],[VALOR DESEMBOLSOS PROYECTO]]/PROYECTOS_DIH[[#This Row],[Valor Proyecto Inicial.]]</f>
        <v>0</v>
      </c>
      <c r="X274" s="54">
        <v>0</v>
      </c>
      <c r="Y274" s="54" t="s">
        <v>1180</v>
      </c>
      <c r="Z274" s="55">
        <v>2329</v>
      </c>
      <c r="AA274" s="57" t="s">
        <v>860</v>
      </c>
      <c r="AB274" s="5" t="s">
        <v>1155</v>
      </c>
      <c r="AC274" s="56" t="s">
        <v>62</v>
      </c>
      <c r="AD274" s="59">
        <v>1.9924948810000001</v>
      </c>
      <c r="AE274" s="59">
        <v>-76.044141260000004</v>
      </c>
      <c r="AF274" s="5" t="s">
        <v>172</v>
      </c>
      <c r="AG274" s="81" t="s">
        <v>80</v>
      </c>
    </row>
    <row r="275" spans="1:33" s="99" customFormat="1" ht="11.4" customHeight="1" x14ac:dyDescent="0.3">
      <c r="A275" s="1" t="s">
        <v>34</v>
      </c>
      <c r="B275" s="43">
        <v>259</v>
      </c>
      <c r="C275" s="191">
        <v>16842</v>
      </c>
      <c r="D275" s="19">
        <v>2024</v>
      </c>
      <c r="E275" s="44" t="s">
        <v>35</v>
      </c>
      <c r="F275" s="45" t="s">
        <v>36</v>
      </c>
      <c r="G275" s="46">
        <v>45653</v>
      </c>
      <c r="H275" s="46">
        <v>46441</v>
      </c>
      <c r="I275" s="4" t="s">
        <v>88</v>
      </c>
      <c r="J275" s="63">
        <v>52835</v>
      </c>
      <c r="K275" s="96" t="s">
        <v>422</v>
      </c>
      <c r="L275" s="112" t="s">
        <v>70</v>
      </c>
      <c r="M275" s="62" t="s">
        <v>701</v>
      </c>
      <c r="N275" s="4" t="s">
        <v>861</v>
      </c>
      <c r="O275" s="45" t="s">
        <v>42</v>
      </c>
      <c r="P275" s="49" t="s">
        <v>132</v>
      </c>
      <c r="Q275" s="49" t="s">
        <v>44</v>
      </c>
      <c r="R275" s="50" t="s">
        <v>862</v>
      </c>
      <c r="S275" s="51">
        <v>0</v>
      </c>
      <c r="T275" s="51"/>
      <c r="U275" s="113">
        <v>11500000000</v>
      </c>
      <c r="V275" s="113"/>
      <c r="W275" s="53">
        <f>PROYECTOS_DIH[[#This Row],[VALOR DESEMBOLSOS PROYECTO]]/PROYECTOS_DIH[[#This Row],[Valor Proyecto Inicial.]]</f>
        <v>0</v>
      </c>
      <c r="X275" s="54">
        <v>0</v>
      </c>
      <c r="Y275" s="54" t="s">
        <v>1180</v>
      </c>
      <c r="Z275" s="55">
        <v>100000</v>
      </c>
      <c r="AA275" s="57" t="s">
        <v>863</v>
      </c>
      <c r="AB275" s="5" t="s">
        <v>1145</v>
      </c>
      <c r="AC275" s="56" t="s">
        <v>47</v>
      </c>
      <c r="AD275" s="59">
        <v>1.8071172499999999</v>
      </c>
      <c r="AE275" s="59">
        <v>-78.76385415</v>
      </c>
      <c r="AF275" s="5" t="s">
        <v>91</v>
      </c>
      <c r="AG275" s="77" t="s">
        <v>75</v>
      </c>
    </row>
    <row r="276" spans="1:33" s="99" customFormat="1" ht="11.4" customHeight="1" x14ac:dyDescent="0.3">
      <c r="A276" s="9" t="s">
        <v>307</v>
      </c>
      <c r="B276" s="43">
        <v>260</v>
      </c>
      <c r="C276" s="94">
        <v>16843</v>
      </c>
      <c r="D276" s="44">
        <v>2012</v>
      </c>
      <c r="E276" s="44" t="s">
        <v>308</v>
      </c>
      <c r="F276" s="45" t="s">
        <v>309</v>
      </c>
      <c r="G276" s="46">
        <v>41271</v>
      </c>
      <c r="H276" s="46">
        <v>46538</v>
      </c>
      <c r="I276" s="45" t="s">
        <v>141</v>
      </c>
      <c r="J276" s="98">
        <v>23678</v>
      </c>
      <c r="K276" s="45" t="s">
        <v>864</v>
      </c>
      <c r="L276" s="45" t="s">
        <v>55</v>
      </c>
      <c r="M276" s="45" t="s">
        <v>311</v>
      </c>
      <c r="N276" s="45" t="s">
        <v>865</v>
      </c>
      <c r="O276" s="49" t="s">
        <v>42</v>
      </c>
      <c r="P276" s="49" t="s">
        <v>58</v>
      </c>
      <c r="Q276" s="49" t="s">
        <v>59</v>
      </c>
      <c r="R276" s="50" t="s">
        <v>58</v>
      </c>
      <c r="S276" s="51">
        <v>0.99</v>
      </c>
      <c r="T276" s="51"/>
      <c r="U276" s="113">
        <v>5986010338.8199997</v>
      </c>
      <c r="V276" s="113"/>
      <c r="W276" s="53">
        <f>PROYECTOS_DIH[[#This Row],[VALOR DESEMBOLSOS PROYECTO]]/PROYECTOS_DIH[[#This Row],[Valor Proyecto Inicial.]]</f>
        <v>0</v>
      </c>
      <c r="X276" s="54">
        <v>0</v>
      </c>
      <c r="Y276" s="54" t="s">
        <v>1180</v>
      </c>
      <c r="Z276" s="55">
        <v>12500</v>
      </c>
      <c r="AA276" s="57" t="s">
        <v>866</v>
      </c>
      <c r="AB276" s="5" t="s">
        <v>1142</v>
      </c>
      <c r="AC276" s="56" t="s">
        <v>62</v>
      </c>
      <c r="AD276" s="59">
        <v>8.7991065919999993</v>
      </c>
      <c r="AE276" s="59">
        <v>-75.698845489999997</v>
      </c>
      <c r="AF276" s="5" t="s">
        <v>145</v>
      </c>
      <c r="AG276" s="71" t="s">
        <v>64</v>
      </c>
    </row>
    <row r="277" spans="1:33" s="99" customFormat="1" ht="11.4" customHeight="1" x14ac:dyDescent="0.3">
      <c r="A277" s="1" t="s">
        <v>34</v>
      </c>
      <c r="B277" s="43">
        <v>261</v>
      </c>
      <c r="C277" s="191">
        <v>16844</v>
      </c>
      <c r="D277" s="19">
        <v>2024</v>
      </c>
      <c r="E277" s="44" t="s">
        <v>35</v>
      </c>
      <c r="F277" s="45" t="s">
        <v>36</v>
      </c>
      <c r="G277" s="46">
        <v>45653</v>
      </c>
      <c r="H277" s="46">
        <v>46441</v>
      </c>
      <c r="I277" s="47" t="s">
        <v>386</v>
      </c>
      <c r="J277" s="48">
        <v>20750</v>
      </c>
      <c r="K277" s="4" t="s">
        <v>867</v>
      </c>
      <c r="L277" s="45" t="s">
        <v>39</v>
      </c>
      <c r="M277" s="45" t="s">
        <v>100</v>
      </c>
      <c r="N277" s="4" t="s">
        <v>868</v>
      </c>
      <c r="O277" s="49" t="s">
        <v>42</v>
      </c>
      <c r="P277" s="49" t="s">
        <v>132</v>
      </c>
      <c r="Q277" s="49" t="s">
        <v>44</v>
      </c>
      <c r="R277" s="50" t="s">
        <v>869</v>
      </c>
      <c r="S277" s="51">
        <v>0</v>
      </c>
      <c r="T277" s="51"/>
      <c r="U277" s="52">
        <v>3504025845</v>
      </c>
      <c r="V277" s="52"/>
      <c r="W277" s="53">
        <f>PROYECTOS_DIH[[#This Row],[VALOR DESEMBOLSOS PROYECTO]]/PROYECTOS_DIH[[#This Row],[Valor Proyecto Inicial.]]</f>
        <v>0</v>
      </c>
      <c r="X277" s="54">
        <v>0</v>
      </c>
      <c r="Y277" s="54" t="s">
        <v>1180</v>
      </c>
      <c r="Z277" s="55">
        <v>20000</v>
      </c>
      <c r="AA277" s="57" t="s">
        <v>870</v>
      </c>
      <c r="AB277" s="5" t="s">
        <v>1143</v>
      </c>
      <c r="AC277" s="56" t="s">
        <v>47</v>
      </c>
      <c r="AD277" s="59">
        <v>10.333032859999999</v>
      </c>
      <c r="AE277" s="59">
        <v>-73.181218079999994</v>
      </c>
      <c r="AF277" s="5" t="s">
        <v>389</v>
      </c>
      <c r="AG277" s="71" t="s">
        <v>64</v>
      </c>
    </row>
    <row r="278" spans="1:33" s="99" customFormat="1" ht="11.4" customHeight="1" x14ac:dyDescent="0.3">
      <c r="A278" s="1" t="s">
        <v>34</v>
      </c>
      <c r="B278" s="43">
        <v>262</v>
      </c>
      <c r="C278" s="191">
        <v>16845</v>
      </c>
      <c r="D278" s="19">
        <v>2024</v>
      </c>
      <c r="E278" s="44" t="s">
        <v>35</v>
      </c>
      <c r="F278" s="45" t="s">
        <v>36</v>
      </c>
      <c r="G278" s="46">
        <v>45653</v>
      </c>
      <c r="H278" s="46">
        <v>46441</v>
      </c>
      <c r="I278" s="4" t="s">
        <v>201</v>
      </c>
      <c r="J278" s="149">
        <v>13468</v>
      </c>
      <c r="K278" s="4" t="s">
        <v>871</v>
      </c>
      <c r="L278" s="4" t="s">
        <v>77</v>
      </c>
      <c r="M278" s="4" t="s">
        <v>26</v>
      </c>
      <c r="N278" s="4" t="s">
        <v>872</v>
      </c>
      <c r="O278" s="49" t="s">
        <v>42</v>
      </c>
      <c r="P278" s="49"/>
      <c r="Q278" s="49" t="s">
        <v>44</v>
      </c>
      <c r="R278" s="50" t="s">
        <v>873</v>
      </c>
      <c r="S278" s="51">
        <v>0</v>
      </c>
      <c r="T278" s="51"/>
      <c r="U278" s="113">
        <v>3376620000</v>
      </c>
      <c r="V278" s="113"/>
      <c r="W278" s="53">
        <f>PROYECTOS_DIH[[#This Row],[VALOR DESEMBOLSOS PROYECTO]]/PROYECTOS_DIH[[#This Row],[Valor Proyecto Inicial.]]</f>
        <v>0</v>
      </c>
      <c r="X278" s="54">
        <v>0</v>
      </c>
      <c r="Y278" s="54" t="s">
        <v>1180</v>
      </c>
      <c r="Z278" s="55">
        <v>444</v>
      </c>
      <c r="AA278" s="57" t="s">
        <v>874</v>
      </c>
      <c r="AB278" s="5" t="s">
        <v>1152</v>
      </c>
      <c r="AC278" s="56" t="s">
        <v>62</v>
      </c>
      <c r="AD278" s="59">
        <v>9.2438837570000008</v>
      </c>
      <c r="AE278" s="59">
        <v>-74.427866420000001</v>
      </c>
      <c r="AF278" s="5" t="s">
        <v>205</v>
      </c>
      <c r="AG278" s="71" t="s">
        <v>64</v>
      </c>
    </row>
    <row r="279" spans="1:33" s="99" customFormat="1" ht="11.4" customHeight="1" x14ac:dyDescent="0.3">
      <c r="A279" s="1" t="s">
        <v>34</v>
      </c>
      <c r="B279" s="43">
        <v>263</v>
      </c>
      <c r="C279" s="191">
        <v>16848</v>
      </c>
      <c r="D279" s="19">
        <v>2024</v>
      </c>
      <c r="E279" s="44" t="s">
        <v>35</v>
      </c>
      <c r="F279" s="45" t="s">
        <v>36</v>
      </c>
      <c r="G279" s="46">
        <v>45653</v>
      </c>
      <c r="H279" s="46">
        <v>46441</v>
      </c>
      <c r="I279" s="47" t="s">
        <v>268</v>
      </c>
      <c r="J279" s="48">
        <v>19698</v>
      </c>
      <c r="K279" s="96" t="s">
        <v>484</v>
      </c>
      <c r="L279" s="45" t="s">
        <v>39</v>
      </c>
      <c r="M279" s="45" t="s">
        <v>126</v>
      </c>
      <c r="N279" s="4" t="s">
        <v>875</v>
      </c>
      <c r="O279" s="49" t="s">
        <v>42</v>
      </c>
      <c r="P279" s="49" t="s">
        <v>132</v>
      </c>
      <c r="Q279" s="49" t="s">
        <v>44</v>
      </c>
      <c r="R279" s="50" t="s">
        <v>699</v>
      </c>
      <c r="S279" s="51">
        <v>0</v>
      </c>
      <c r="T279" s="51"/>
      <c r="U279" s="52">
        <v>300000000</v>
      </c>
      <c r="V279" s="52"/>
      <c r="W279" s="53">
        <f>PROYECTOS_DIH[[#This Row],[VALOR DESEMBOLSOS PROYECTO]]/PROYECTOS_DIH[[#This Row],[Valor Proyecto Inicial.]]</f>
        <v>0</v>
      </c>
      <c r="X279" s="54">
        <v>0</v>
      </c>
      <c r="Y279" s="54" t="s">
        <v>1180</v>
      </c>
      <c r="Z279" s="55">
        <v>17000</v>
      </c>
      <c r="AA279" s="57" t="s">
        <v>876</v>
      </c>
      <c r="AB279" s="5" t="s">
        <v>1138</v>
      </c>
      <c r="AC279" s="56" t="s">
        <v>47</v>
      </c>
      <c r="AD279" s="59">
        <v>3.0160539009999998</v>
      </c>
      <c r="AE279" s="59">
        <v>-76.485370290000006</v>
      </c>
      <c r="AF279" s="5" t="s">
        <v>272</v>
      </c>
      <c r="AG279" s="71" t="s">
        <v>75</v>
      </c>
    </row>
    <row r="280" spans="1:33" s="99" customFormat="1" ht="11.4" customHeight="1" x14ac:dyDescent="0.3">
      <c r="A280" s="16" t="s">
        <v>725</v>
      </c>
      <c r="B280" s="43">
        <v>264</v>
      </c>
      <c r="C280" s="94">
        <v>16850</v>
      </c>
      <c r="D280" s="19">
        <v>2025</v>
      </c>
      <c r="E280" s="44" t="s">
        <v>726</v>
      </c>
      <c r="F280" s="5" t="s">
        <v>877</v>
      </c>
      <c r="G280" s="11">
        <v>45968</v>
      </c>
      <c r="H280" s="46">
        <v>46568</v>
      </c>
      <c r="I280" s="5" t="s">
        <v>76</v>
      </c>
      <c r="J280" s="82">
        <v>25754</v>
      </c>
      <c r="K280" s="5" t="s">
        <v>878</v>
      </c>
      <c r="L280" s="45" t="s">
        <v>39</v>
      </c>
      <c r="M280" s="45" t="s">
        <v>100</v>
      </c>
      <c r="N280" s="5" t="s">
        <v>879</v>
      </c>
      <c r="O280" s="45" t="s">
        <v>42</v>
      </c>
      <c r="P280" s="45"/>
      <c r="Q280" s="49" t="s">
        <v>44</v>
      </c>
      <c r="R280" s="95" t="s">
        <v>880</v>
      </c>
      <c r="S280" s="58">
        <v>0</v>
      </c>
      <c r="T280" s="58"/>
      <c r="U280" s="91">
        <v>2150147402</v>
      </c>
      <c r="V280" s="91"/>
      <c r="W280" s="53">
        <f>PROYECTOS_DIH[[#This Row],[VALOR DESEMBOLSOS PROYECTO]]/PROYECTOS_DIH[[#This Row],[Valor Proyecto Inicial.]]</f>
        <v>0</v>
      </c>
      <c r="X280" s="54">
        <v>0</v>
      </c>
      <c r="Y280" s="54" t="s">
        <v>1180</v>
      </c>
      <c r="Z280" s="92">
        <v>118457</v>
      </c>
      <c r="AA280" s="57" t="s">
        <v>881</v>
      </c>
      <c r="AB280" s="5" t="s">
        <v>1158</v>
      </c>
      <c r="AC280" s="56" t="s">
        <v>62</v>
      </c>
      <c r="AD280" s="59">
        <v>4.5854916579999996</v>
      </c>
      <c r="AE280" s="59">
        <v>-74.214527529999998</v>
      </c>
      <c r="AF280" s="5" t="s">
        <v>79</v>
      </c>
      <c r="AG280" s="81" t="s">
        <v>80</v>
      </c>
    </row>
    <row r="281" spans="1:33" s="99" customFormat="1" ht="11.4" customHeight="1" x14ac:dyDescent="0.3">
      <c r="A281" s="114" t="s">
        <v>221</v>
      </c>
      <c r="B281" s="43">
        <v>265</v>
      </c>
      <c r="C281" s="94">
        <v>16851</v>
      </c>
      <c r="D281" s="44">
        <v>2024</v>
      </c>
      <c r="E281" s="44" t="s">
        <v>222</v>
      </c>
      <c r="F281" s="45" t="s">
        <v>223</v>
      </c>
      <c r="G281" s="46">
        <v>45558</v>
      </c>
      <c r="H281" s="46">
        <v>46575</v>
      </c>
      <c r="I281" s="47" t="s">
        <v>76</v>
      </c>
      <c r="J281" s="48">
        <v>25754</v>
      </c>
      <c r="K281" s="96" t="s">
        <v>878</v>
      </c>
      <c r="L281" s="8" t="s">
        <v>70</v>
      </c>
      <c r="M281" s="4" t="s">
        <v>225</v>
      </c>
      <c r="N281" s="45" t="s">
        <v>226</v>
      </c>
      <c r="O281" s="45" t="s">
        <v>42</v>
      </c>
      <c r="P281" s="49" t="s">
        <v>42</v>
      </c>
      <c r="Q281" s="49" t="s">
        <v>170</v>
      </c>
      <c r="R281" s="117" t="s">
        <v>350</v>
      </c>
      <c r="S281" s="51">
        <v>0.53159999999999996</v>
      </c>
      <c r="T281" s="51"/>
      <c r="U281" s="52">
        <v>7778985710</v>
      </c>
      <c r="V281" s="52"/>
      <c r="W281" s="53">
        <f>PROYECTOS_DIH[[#This Row],[VALOR DESEMBOLSOS PROYECTO]]/PROYECTOS_DIH[[#This Row],[Valor Proyecto Inicial.]]</f>
        <v>0.42021149885362113</v>
      </c>
      <c r="X281" s="54">
        <v>3268819244.7600002</v>
      </c>
      <c r="Y281" s="54" t="s">
        <v>1169</v>
      </c>
      <c r="Z281" s="55">
        <v>10000</v>
      </c>
      <c r="AA281" s="122" t="s">
        <v>882</v>
      </c>
      <c r="AB281" s="5" t="s">
        <v>1158</v>
      </c>
      <c r="AC281" s="56" t="s">
        <v>62</v>
      </c>
      <c r="AD281" s="59">
        <v>4.5854916579999996</v>
      </c>
      <c r="AE281" s="59">
        <v>-74.214527529999998</v>
      </c>
      <c r="AF281" s="5" t="s">
        <v>79</v>
      </c>
      <c r="AG281" s="81" t="s">
        <v>80</v>
      </c>
    </row>
    <row r="282" spans="1:33" s="99" customFormat="1" ht="11.4" customHeight="1" x14ac:dyDescent="0.3">
      <c r="A282" s="1" t="s">
        <v>34</v>
      </c>
      <c r="B282" s="43">
        <v>266</v>
      </c>
      <c r="C282" s="191">
        <v>16853</v>
      </c>
      <c r="D282" s="19">
        <v>2024</v>
      </c>
      <c r="E282" s="44" t="s">
        <v>35</v>
      </c>
      <c r="F282" s="45" t="s">
        <v>36</v>
      </c>
      <c r="G282" s="46">
        <v>45653</v>
      </c>
      <c r="H282" s="46">
        <v>46441</v>
      </c>
      <c r="I282" s="47" t="s">
        <v>268</v>
      </c>
      <c r="J282" s="48">
        <v>19780</v>
      </c>
      <c r="K282" s="96" t="s">
        <v>883</v>
      </c>
      <c r="L282" s="45" t="s">
        <v>39</v>
      </c>
      <c r="M282" s="45" t="s">
        <v>126</v>
      </c>
      <c r="N282" s="4" t="s">
        <v>884</v>
      </c>
      <c r="O282" s="49" t="s">
        <v>42</v>
      </c>
      <c r="P282" s="49" t="s">
        <v>132</v>
      </c>
      <c r="Q282" s="49" t="s">
        <v>44</v>
      </c>
      <c r="R282" s="50" t="s">
        <v>885</v>
      </c>
      <c r="S282" s="51">
        <v>0</v>
      </c>
      <c r="T282" s="51"/>
      <c r="U282" s="52">
        <v>9000000000</v>
      </c>
      <c r="V282" s="52"/>
      <c r="W282" s="53">
        <f>PROYECTOS_DIH[[#This Row],[VALOR DESEMBOLSOS PROYECTO]]/PROYECTOS_DIH[[#This Row],[Valor Proyecto Inicial.]]</f>
        <v>0</v>
      </c>
      <c r="X282" s="54">
        <v>0</v>
      </c>
      <c r="Y282" s="54" t="s">
        <v>1180</v>
      </c>
      <c r="Z282" s="55">
        <v>15000</v>
      </c>
      <c r="AA282" s="57" t="s">
        <v>886</v>
      </c>
      <c r="AB282" s="5" t="s">
        <v>1138</v>
      </c>
      <c r="AC282" s="56" t="s">
        <v>47</v>
      </c>
      <c r="AD282" s="59">
        <v>2.9597015369999999</v>
      </c>
      <c r="AE282" s="59">
        <v>-76.693447109999994</v>
      </c>
      <c r="AF282" s="5" t="s">
        <v>272</v>
      </c>
      <c r="AG282" s="71" t="s">
        <v>75</v>
      </c>
    </row>
    <row r="283" spans="1:33" s="99" customFormat="1" ht="11.4" customHeight="1" x14ac:dyDescent="0.3">
      <c r="A283" s="1" t="s">
        <v>34</v>
      </c>
      <c r="B283" s="43">
        <v>267</v>
      </c>
      <c r="C283" s="191">
        <v>16854</v>
      </c>
      <c r="D283" s="19">
        <v>2024</v>
      </c>
      <c r="E283" s="44" t="s">
        <v>35</v>
      </c>
      <c r="F283" s="45" t="s">
        <v>36</v>
      </c>
      <c r="G283" s="46">
        <v>45653</v>
      </c>
      <c r="H283" s="46">
        <v>46441</v>
      </c>
      <c r="I283" s="47" t="s">
        <v>268</v>
      </c>
      <c r="J283" s="48">
        <v>19780</v>
      </c>
      <c r="K283" s="96" t="s">
        <v>883</v>
      </c>
      <c r="L283" s="45" t="s">
        <v>55</v>
      </c>
      <c r="M283" s="62" t="s">
        <v>828</v>
      </c>
      <c r="N283" s="4" t="s">
        <v>887</v>
      </c>
      <c r="O283" s="49" t="s">
        <v>42</v>
      </c>
      <c r="P283" s="49" t="s">
        <v>132</v>
      </c>
      <c r="Q283" s="49" t="s">
        <v>44</v>
      </c>
      <c r="R283" s="50" t="s">
        <v>888</v>
      </c>
      <c r="S283" s="51">
        <v>0</v>
      </c>
      <c r="T283" s="51"/>
      <c r="U283" s="113">
        <v>3000000000</v>
      </c>
      <c r="V283" s="113"/>
      <c r="W283" s="53">
        <f>PROYECTOS_DIH[[#This Row],[VALOR DESEMBOLSOS PROYECTO]]/PROYECTOS_DIH[[#This Row],[Valor Proyecto Inicial.]]</f>
        <v>0</v>
      </c>
      <c r="X283" s="54">
        <v>0</v>
      </c>
      <c r="Y283" s="54" t="s">
        <v>1180</v>
      </c>
      <c r="Z283" s="55">
        <v>34000</v>
      </c>
      <c r="AA283" s="57" t="s">
        <v>889</v>
      </c>
      <c r="AB283" s="5" t="s">
        <v>1138</v>
      </c>
      <c r="AC283" s="56" t="s">
        <v>47</v>
      </c>
      <c r="AD283" s="59">
        <v>2.9597015369999999</v>
      </c>
      <c r="AE283" s="59">
        <v>-76.693447109999994</v>
      </c>
      <c r="AF283" s="5" t="s">
        <v>272</v>
      </c>
      <c r="AG283" s="71" t="s">
        <v>75</v>
      </c>
    </row>
    <row r="284" spans="1:33" s="99" customFormat="1" ht="11.4" customHeight="1" x14ac:dyDescent="0.3">
      <c r="A284" s="16" t="s">
        <v>725</v>
      </c>
      <c r="B284" s="43">
        <v>268</v>
      </c>
      <c r="C284" s="94">
        <v>16857</v>
      </c>
      <c r="D284" s="44">
        <v>2025</v>
      </c>
      <c r="E284" s="44" t="s">
        <v>303</v>
      </c>
      <c r="F284" s="45" t="s">
        <v>890</v>
      </c>
      <c r="G284" s="46">
        <v>45770</v>
      </c>
      <c r="H284" s="46">
        <v>46387</v>
      </c>
      <c r="I284" s="47" t="s">
        <v>166</v>
      </c>
      <c r="J284" s="48">
        <v>41801</v>
      </c>
      <c r="K284" s="140" t="s">
        <v>891</v>
      </c>
      <c r="L284" s="45" t="s">
        <v>39</v>
      </c>
      <c r="M284" s="45" t="s">
        <v>100</v>
      </c>
      <c r="N284" s="140" t="s">
        <v>892</v>
      </c>
      <c r="O284" s="49" t="s">
        <v>42</v>
      </c>
      <c r="P284" s="49" t="s">
        <v>132</v>
      </c>
      <c r="Q284" s="49" t="s">
        <v>44</v>
      </c>
      <c r="R284" s="50" t="s">
        <v>745</v>
      </c>
      <c r="S284" s="51">
        <v>0</v>
      </c>
      <c r="T284" s="51"/>
      <c r="U284" s="52">
        <v>2896128218</v>
      </c>
      <c r="V284" s="52"/>
      <c r="W284" s="53">
        <f>PROYECTOS_DIH[[#This Row],[VALOR DESEMBOLSOS PROYECTO]]/PROYECTOS_DIH[[#This Row],[Valor Proyecto Inicial.]]</f>
        <v>0</v>
      </c>
      <c r="X284" s="54">
        <v>0</v>
      </c>
      <c r="Y284" s="54" t="s">
        <v>1180</v>
      </c>
      <c r="Z284" s="55">
        <v>2371</v>
      </c>
      <c r="AA284" s="57" t="s">
        <v>893</v>
      </c>
      <c r="AB284" s="5" t="s">
        <v>1155</v>
      </c>
      <c r="AC284" s="56" t="s">
        <v>62</v>
      </c>
      <c r="AD284" s="59">
        <v>2.7409684159999999</v>
      </c>
      <c r="AE284" s="59">
        <v>-75.567034250000006</v>
      </c>
      <c r="AF284" s="5" t="s">
        <v>172</v>
      </c>
      <c r="AG284" s="81" t="s">
        <v>80</v>
      </c>
    </row>
    <row r="285" spans="1:33" s="99" customFormat="1" ht="11.4" customHeight="1" x14ac:dyDescent="0.3">
      <c r="A285" s="16" t="s">
        <v>725</v>
      </c>
      <c r="B285" s="43">
        <v>271</v>
      </c>
      <c r="C285" s="94">
        <v>16858</v>
      </c>
      <c r="D285" s="44">
        <v>2025</v>
      </c>
      <c r="E285" s="44" t="s">
        <v>303</v>
      </c>
      <c r="F285" s="45" t="s">
        <v>899</v>
      </c>
      <c r="G285" s="46">
        <v>45770</v>
      </c>
      <c r="H285" s="46">
        <v>46387</v>
      </c>
      <c r="I285" s="47" t="s">
        <v>166</v>
      </c>
      <c r="J285" s="48">
        <v>41807</v>
      </c>
      <c r="K285" s="140" t="s">
        <v>900</v>
      </c>
      <c r="L285" s="45" t="s">
        <v>39</v>
      </c>
      <c r="M285" s="45" t="s">
        <v>126</v>
      </c>
      <c r="N285" s="140" t="s">
        <v>901</v>
      </c>
      <c r="O285" s="49" t="s">
        <v>42</v>
      </c>
      <c r="P285" s="49" t="s">
        <v>132</v>
      </c>
      <c r="Q285" s="49" t="s">
        <v>44</v>
      </c>
      <c r="R285" s="50" t="s">
        <v>745</v>
      </c>
      <c r="S285" s="51">
        <v>0</v>
      </c>
      <c r="T285" s="51"/>
      <c r="U285" s="52">
        <v>2137540742</v>
      </c>
      <c r="V285" s="52"/>
      <c r="W285" s="53">
        <f>PROYECTOS_DIH[[#This Row],[VALOR DESEMBOLSOS PROYECTO]]/PROYECTOS_DIH[[#This Row],[Valor Proyecto Inicial.]]</f>
        <v>0</v>
      </c>
      <c r="X285" s="54">
        <v>0</v>
      </c>
      <c r="Y285" s="54" t="s">
        <v>1180</v>
      </c>
      <c r="Z285" s="55">
        <v>4037</v>
      </c>
      <c r="AA285" s="57" t="s">
        <v>902</v>
      </c>
      <c r="AB285" s="5" t="s">
        <v>1155</v>
      </c>
      <c r="AC285" s="56" t="s">
        <v>62</v>
      </c>
      <c r="AD285" s="59">
        <v>1.974224443</v>
      </c>
      <c r="AE285" s="59">
        <v>-75.932086999999996</v>
      </c>
      <c r="AF285" s="5" t="s">
        <v>172</v>
      </c>
      <c r="AG285" s="81" t="s">
        <v>80</v>
      </c>
    </row>
    <row r="286" spans="1:33" s="99" customFormat="1" ht="11.4" customHeight="1" x14ac:dyDescent="0.3">
      <c r="A286" s="1" t="s">
        <v>34</v>
      </c>
      <c r="B286" s="43">
        <v>272</v>
      </c>
      <c r="C286" s="191">
        <v>16861</v>
      </c>
      <c r="D286" s="19">
        <v>2024</v>
      </c>
      <c r="E286" s="44" t="s">
        <v>35</v>
      </c>
      <c r="F286" s="45" t="s">
        <v>36</v>
      </c>
      <c r="G286" s="46">
        <v>45653</v>
      </c>
      <c r="H286" s="46">
        <v>46441</v>
      </c>
      <c r="I286" s="47" t="s">
        <v>37</v>
      </c>
      <c r="J286" s="145">
        <v>27800</v>
      </c>
      <c r="K286" s="97" t="s">
        <v>130</v>
      </c>
      <c r="L286" s="4" t="s">
        <v>77</v>
      </c>
      <c r="M286" s="4" t="s">
        <v>26</v>
      </c>
      <c r="N286" s="4" t="s">
        <v>903</v>
      </c>
      <c r="O286" s="49" t="s">
        <v>42</v>
      </c>
      <c r="P286" s="49" t="s">
        <v>132</v>
      </c>
      <c r="Q286" s="49" t="s">
        <v>44</v>
      </c>
      <c r="R286" s="50" t="s">
        <v>699</v>
      </c>
      <c r="S286" s="51">
        <v>0</v>
      </c>
      <c r="T286" s="51"/>
      <c r="U286" s="52">
        <v>425880000</v>
      </c>
      <c r="V286" s="52"/>
      <c r="W286" s="53">
        <f>PROYECTOS_DIH[[#This Row],[VALOR DESEMBOLSOS PROYECTO]]/PROYECTOS_DIH[[#This Row],[Valor Proyecto Inicial.]]</f>
        <v>0</v>
      </c>
      <c r="X286" s="54">
        <v>0</v>
      </c>
      <c r="Y286" s="54" t="s">
        <v>1180</v>
      </c>
      <c r="Z286" s="55">
        <v>42</v>
      </c>
      <c r="AA286" s="57" t="s">
        <v>904</v>
      </c>
      <c r="AB286" s="5" t="s">
        <v>1141</v>
      </c>
      <c r="AC286" s="56" t="s">
        <v>47</v>
      </c>
      <c r="AD286" s="59">
        <v>8.0427607820000002</v>
      </c>
      <c r="AE286" s="59">
        <v>-77.091753030000007</v>
      </c>
      <c r="AF286" s="5" t="s">
        <v>48</v>
      </c>
      <c r="AG286" s="60" t="s">
        <v>49</v>
      </c>
    </row>
    <row r="287" spans="1:33" s="99" customFormat="1" ht="11.4" customHeight="1" x14ac:dyDescent="0.3">
      <c r="A287" s="1" t="s">
        <v>34</v>
      </c>
      <c r="B287" s="43">
        <v>273</v>
      </c>
      <c r="C287" s="191">
        <v>16862</v>
      </c>
      <c r="D287" s="19">
        <v>2024</v>
      </c>
      <c r="E287" s="44" t="s">
        <v>35</v>
      </c>
      <c r="F287" s="45" t="s">
        <v>36</v>
      </c>
      <c r="G287" s="46">
        <v>45653</v>
      </c>
      <c r="H287" s="46">
        <v>46441</v>
      </c>
      <c r="I287" s="4" t="s">
        <v>201</v>
      </c>
      <c r="J287" s="63">
        <v>13442</v>
      </c>
      <c r="K287" s="97" t="s">
        <v>390</v>
      </c>
      <c r="L287" s="45" t="s">
        <v>55</v>
      </c>
      <c r="M287" s="46" t="s">
        <v>449</v>
      </c>
      <c r="N287" s="4" t="s">
        <v>905</v>
      </c>
      <c r="O287" s="49" t="s">
        <v>42</v>
      </c>
      <c r="P287" s="49" t="s">
        <v>132</v>
      </c>
      <c r="Q287" s="49" t="s">
        <v>44</v>
      </c>
      <c r="R287" s="150" t="s">
        <v>906</v>
      </c>
      <c r="S287" s="51">
        <v>0</v>
      </c>
      <c r="T287" s="51"/>
      <c r="U287" s="113">
        <v>1684100000</v>
      </c>
      <c r="V287" s="113"/>
      <c r="W287" s="53">
        <f>PROYECTOS_DIH[[#This Row],[VALOR DESEMBOLSOS PROYECTO]]/PROYECTOS_DIH[[#This Row],[Valor Proyecto Inicial.]]</f>
        <v>0</v>
      </c>
      <c r="X287" s="54">
        <v>0</v>
      </c>
      <c r="Y287" s="54" t="s">
        <v>1180</v>
      </c>
      <c r="Z287" s="55">
        <v>50000</v>
      </c>
      <c r="AA287" s="57" t="s">
        <v>907</v>
      </c>
      <c r="AB287" s="5" t="s">
        <v>1152</v>
      </c>
      <c r="AC287" s="56" t="s">
        <v>47</v>
      </c>
      <c r="AD287" s="59">
        <v>9.9826455169999999</v>
      </c>
      <c r="AE287" s="59">
        <v>-75.300759350000007</v>
      </c>
      <c r="AF287" s="5" t="s">
        <v>205</v>
      </c>
      <c r="AG287" s="71" t="s">
        <v>64</v>
      </c>
    </row>
    <row r="288" spans="1:33" s="99" customFormat="1" ht="11.4" customHeight="1" x14ac:dyDescent="0.3">
      <c r="A288" s="9" t="s">
        <v>307</v>
      </c>
      <c r="B288" s="43">
        <v>274</v>
      </c>
      <c r="C288" s="94">
        <v>16863</v>
      </c>
      <c r="D288" s="44">
        <v>2012</v>
      </c>
      <c r="E288" s="44" t="s">
        <v>308</v>
      </c>
      <c r="F288" s="45" t="s">
        <v>309</v>
      </c>
      <c r="G288" s="46">
        <v>41271</v>
      </c>
      <c r="H288" s="46">
        <v>46538</v>
      </c>
      <c r="I288" s="45" t="s">
        <v>76</v>
      </c>
      <c r="J288" s="98">
        <v>25035</v>
      </c>
      <c r="K288" s="45" t="s">
        <v>908</v>
      </c>
      <c r="L288" s="45" t="s">
        <v>55</v>
      </c>
      <c r="M288" s="45" t="s">
        <v>775</v>
      </c>
      <c r="N288" s="45" t="s">
        <v>909</v>
      </c>
      <c r="O288" s="49" t="s">
        <v>42</v>
      </c>
      <c r="P288" s="49"/>
      <c r="Q288" s="49" t="s">
        <v>44</v>
      </c>
      <c r="R288" s="50" t="s">
        <v>910</v>
      </c>
      <c r="S288" s="51">
        <v>0</v>
      </c>
      <c r="T288" s="51"/>
      <c r="U288" s="113">
        <v>1619755514.6099999</v>
      </c>
      <c r="V288" s="113"/>
      <c r="W288" s="53">
        <f>PROYECTOS_DIH[[#This Row],[VALOR DESEMBOLSOS PROYECTO]]/PROYECTOS_DIH[[#This Row],[Valor Proyecto Inicial.]]</f>
        <v>0</v>
      </c>
      <c r="X288" s="54">
        <v>0</v>
      </c>
      <c r="Y288" s="54" t="s">
        <v>1180</v>
      </c>
      <c r="Z288" s="55"/>
      <c r="AA288" s="57" t="s">
        <v>911</v>
      </c>
      <c r="AB288" s="5" t="s">
        <v>1158</v>
      </c>
      <c r="AC288" s="56" t="s">
        <v>62</v>
      </c>
      <c r="AD288" s="59">
        <v>4.5629561750000001</v>
      </c>
      <c r="AE288" s="59">
        <v>-74.528517530000002</v>
      </c>
      <c r="AF288" s="5" t="s">
        <v>79</v>
      </c>
      <c r="AG288" s="81" t="s">
        <v>80</v>
      </c>
    </row>
    <row r="289" spans="1:33" s="99" customFormat="1" ht="11.4" customHeight="1" x14ac:dyDescent="0.3">
      <c r="A289" s="9" t="s">
        <v>307</v>
      </c>
      <c r="B289" s="43">
        <v>275</v>
      </c>
      <c r="C289" s="94">
        <v>16864</v>
      </c>
      <c r="D289" s="44">
        <v>2024</v>
      </c>
      <c r="E289" s="44" t="s">
        <v>308</v>
      </c>
      <c r="F289" s="45" t="s">
        <v>309</v>
      </c>
      <c r="G289" s="46">
        <v>41271</v>
      </c>
      <c r="H289" s="46">
        <v>46538</v>
      </c>
      <c r="I289" s="47" t="s">
        <v>268</v>
      </c>
      <c r="J289" s="48">
        <v>19050</v>
      </c>
      <c r="K289" s="47" t="s">
        <v>280</v>
      </c>
      <c r="L289" s="45" t="s">
        <v>39</v>
      </c>
      <c r="M289" s="45" t="s">
        <v>100</v>
      </c>
      <c r="N289" s="45" t="s">
        <v>912</v>
      </c>
      <c r="O289" s="49" t="s">
        <v>42</v>
      </c>
      <c r="P289" s="49" t="s">
        <v>42</v>
      </c>
      <c r="Q289" s="49" t="s">
        <v>170</v>
      </c>
      <c r="R289" s="88" t="s">
        <v>231</v>
      </c>
      <c r="S289" s="51">
        <v>0</v>
      </c>
      <c r="T289" s="51"/>
      <c r="U289" s="52">
        <v>6720000000</v>
      </c>
      <c r="V289" s="52"/>
      <c r="W289" s="53">
        <f>PROYECTOS_DIH[[#This Row],[VALOR DESEMBOLSOS PROYECTO]]/PROYECTOS_DIH[[#This Row],[Valor Proyecto Inicial.]]</f>
        <v>0</v>
      </c>
      <c r="X289" s="54">
        <v>0</v>
      </c>
      <c r="Y289" s="54" t="s">
        <v>1180</v>
      </c>
      <c r="Z289" s="55">
        <v>8000</v>
      </c>
      <c r="AA289" s="57" t="s">
        <v>913</v>
      </c>
      <c r="AB289" s="5" t="s">
        <v>1138</v>
      </c>
      <c r="AC289" s="56" t="s">
        <v>47</v>
      </c>
      <c r="AD289" s="59">
        <v>2.2567549090000001</v>
      </c>
      <c r="AE289" s="59">
        <v>-77.249450280000005</v>
      </c>
      <c r="AF289" s="5" t="s">
        <v>272</v>
      </c>
      <c r="AG289" s="71" t="s">
        <v>75</v>
      </c>
    </row>
    <row r="290" spans="1:33" s="99" customFormat="1" ht="11.4" customHeight="1" x14ac:dyDescent="0.3">
      <c r="A290" s="17" t="s">
        <v>914</v>
      </c>
      <c r="B290" s="43">
        <v>276</v>
      </c>
      <c r="C290" s="94">
        <v>16880</v>
      </c>
      <c r="D290" s="44">
        <v>2025</v>
      </c>
      <c r="E290" s="44" t="s">
        <v>151</v>
      </c>
      <c r="F290" s="45" t="s">
        <v>915</v>
      </c>
      <c r="G290" s="46">
        <v>45803</v>
      </c>
      <c r="H290" s="46">
        <v>46752</v>
      </c>
      <c r="I290" s="47" t="s">
        <v>111</v>
      </c>
      <c r="J290" s="48">
        <v>44650</v>
      </c>
      <c r="K290" s="97" t="s">
        <v>459</v>
      </c>
      <c r="L290" s="45" t="s">
        <v>39</v>
      </c>
      <c r="M290" s="45" t="s">
        <v>100</v>
      </c>
      <c r="N290" s="45" t="s">
        <v>916</v>
      </c>
      <c r="O290" s="45" t="s">
        <v>42</v>
      </c>
      <c r="P290" s="45"/>
      <c r="Q290" s="49" t="s">
        <v>44</v>
      </c>
      <c r="R290" s="50" t="s">
        <v>917</v>
      </c>
      <c r="S290" s="51">
        <v>0</v>
      </c>
      <c r="T290" s="51"/>
      <c r="U290" s="113">
        <v>5033450729</v>
      </c>
      <c r="V290" s="113"/>
      <c r="W290" s="53">
        <f>PROYECTOS_DIH[[#This Row],[VALOR DESEMBOLSOS PROYECTO]]/PROYECTOS_DIH[[#This Row],[Valor Proyecto Inicial.]]</f>
        <v>0</v>
      </c>
      <c r="X290" s="54">
        <v>0</v>
      </c>
      <c r="Y290" s="54" t="s">
        <v>1180</v>
      </c>
      <c r="Z290" s="55">
        <v>18000</v>
      </c>
      <c r="AA290" s="57" t="s">
        <v>918</v>
      </c>
      <c r="AB290" s="5" t="s">
        <v>1144</v>
      </c>
      <c r="AC290" s="56" t="s">
        <v>47</v>
      </c>
      <c r="AD290" s="59">
        <v>10.76957868</v>
      </c>
      <c r="AE290" s="59">
        <v>-73.000593210000005</v>
      </c>
      <c r="AF290" s="5" t="s">
        <v>113</v>
      </c>
      <c r="AG290" s="71" t="s">
        <v>64</v>
      </c>
    </row>
    <row r="291" spans="1:33" s="99" customFormat="1" ht="11.4" customHeight="1" x14ac:dyDescent="0.3">
      <c r="A291" s="17" t="s">
        <v>914</v>
      </c>
      <c r="B291" s="43">
        <v>279</v>
      </c>
      <c r="C291" s="94">
        <v>16905</v>
      </c>
      <c r="D291" s="44">
        <v>2025</v>
      </c>
      <c r="E291" s="44" t="s">
        <v>139</v>
      </c>
      <c r="F291" s="45" t="s">
        <v>924</v>
      </c>
      <c r="G291" s="46">
        <v>45968</v>
      </c>
      <c r="H291" s="46">
        <v>46387</v>
      </c>
      <c r="I291" s="45" t="s">
        <v>141</v>
      </c>
      <c r="J291" s="98">
        <v>23189</v>
      </c>
      <c r="K291" s="96" t="s">
        <v>537</v>
      </c>
      <c r="L291" s="45" t="s">
        <v>55</v>
      </c>
      <c r="M291" s="45" t="s">
        <v>792</v>
      </c>
      <c r="N291" s="45" t="s">
        <v>925</v>
      </c>
      <c r="O291" s="45" t="s">
        <v>42</v>
      </c>
      <c r="P291" s="45"/>
      <c r="Q291" s="49" t="s">
        <v>44</v>
      </c>
      <c r="R291" s="50" t="s">
        <v>917</v>
      </c>
      <c r="S291" s="51">
        <v>0</v>
      </c>
      <c r="T291" s="51"/>
      <c r="U291" s="113">
        <v>4559568571</v>
      </c>
      <c r="V291" s="113"/>
      <c r="W291" s="53">
        <f>PROYECTOS_DIH[[#This Row],[VALOR DESEMBOLSOS PROYECTO]]/PROYECTOS_DIH[[#This Row],[Valor Proyecto Inicial.]]</f>
        <v>0</v>
      </c>
      <c r="X291" s="54">
        <v>0</v>
      </c>
      <c r="Y291" s="54" t="s">
        <v>1180</v>
      </c>
      <c r="Z291" s="55">
        <v>3744</v>
      </c>
      <c r="AA291" s="57" t="s">
        <v>926</v>
      </c>
      <c r="AB291" s="5" t="s">
        <v>1142</v>
      </c>
      <c r="AC291" s="56" t="s">
        <v>62</v>
      </c>
      <c r="AD291" s="59">
        <v>8.8755022459999999</v>
      </c>
      <c r="AE291" s="59">
        <v>-75.620786640000006</v>
      </c>
      <c r="AF291" s="5" t="s">
        <v>145</v>
      </c>
      <c r="AG291" s="71" t="s">
        <v>64</v>
      </c>
    </row>
    <row r="292" spans="1:33" s="99" customFormat="1" ht="11.4" customHeight="1" x14ac:dyDescent="0.3">
      <c r="A292" s="17" t="s">
        <v>914</v>
      </c>
      <c r="B292" s="43">
        <v>280</v>
      </c>
      <c r="C292" s="94">
        <v>16912</v>
      </c>
      <c r="D292" s="44">
        <v>2025</v>
      </c>
      <c r="E292" s="44" t="s">
        <v>927</v>
      </c>
      <c r="F292" s="5" t="s">
        <v>928</v>
      </c>
      <c r="G292" s="11">
        <v>45968</v>
      </c>
      <c r="H292" s="11">
        <v>46387</v>
      </c>
      <c r="I292" s="5" t="s">
        <v>348</v>
      </c>
      <c r="J292" s="82">
        <v>50686</v>
      </c>
      <c r="K292" s="5" t="s">
        <v>929</v>
      </c>
      <c r="L292" s="45" t="s">
        <v>39</v>
      </c>
      <c r="M292" s="45" t="s">
        <v>126</v>
      </c>
      <c r="N292" s="5" t="s">
        <v>930</v>
      </c>
      <c r="O292" s="45" t="s">
        <v>42</v>
      </c>
      <c r="P292" s="45"/>
      <c r="Q292" s="49" t="s">
        <v>44</v>
      </c>
      <c r="R292" s="95" t="s">
        <v>917</v>
      </c>
      <c r="S292" s="58">
        <v>0</v>
      </c>
      <c r="T292" s="58"/>
      <c r="U292" s="91">
        <v>2211939303</v>
      </c>
      <c r="V292" s="91"/>
      <c r="W292" s="53">
        <f>PROYECTOS_DIH[[#This Row],[VALOR DESEMBOLSOS PROYECTO]]/PROYECTOS_DIH[[#This Row],[Valor Proyecto Inicial.]]</f>
        <v>0</v>
      </c>
      <c r="X292" s="54">
        <v>0</v>
      </c>
      <c r="Y292" s="54" t="s">
        <v>1180</v>
      </c>
      <c r="Z292" s="92">
        <v>701</v>
      </c>
      <c r="AA292" s="80" t="s">
        <v>931</v>
      </c>
      <c r="AB292" s="5" t="s">
        <v>1157</v>
      </c>
      <c r="AC292" s="56" t="s">
        <v>96</v>
      </c>
      <c r="AD292" s="59">
        <v>4.458180005</v>
      </c>
      <c r="AE292" s="59">
        <v>-73.676699029999995</v>
      </c>
      <c r="AF292" s="5" t="s">
        <v>352</v>
      </c>
      <c r="AG292" s="120" t="s">
        <v>353</v>
      </c>
    </row>
    <row r="293" spans="1:33" s="99" customFormat="1" ht="11.4" customHeight="1" x14ac:dyDescent="0.3">
      <c r="A293" s="17" t="s">
        <v>914</v>
      </c>
      <c r="B293" s="43">
        <v>281</v>
      </c>
      <c r="C293" s="94">
        <v>16982</v>
      </c>
      <c r="D293" s="44">
        <v>2025</v>
      </c>
      <c r="E293" s="44" t="s">
        <v>896</v>
      </c>
      <c r="F293" s="5" t="s">
        <v>932</v>
      </c>
      <c r="G293" s="11">
        <v>45968</v>
      </c>
      <c r="H293" s="11">
        <v>46387</v>
      </c>
      <c r="I293" s="47" t="s">
        <v>189</v>
      </c>
      <c r="J293" s="48">
        <v>5887</v>
      </c>
      <c r="K293" s="5" t="s">
        <v>933</v>
      </c>
      <c r="L293" s="45" t="s">
        <v>39</v>
      </c>
      <c r="M293" s="45" t="s">
        <v>126</v>
      </c>
      <c r="N293" s="5" t="s">
        <v>934</v>
      </c>
      <c r="O293" s="45" t="s">
        <v>42</v>
      </c>
      <c r="P293" s="45"/>
      <c r="Q293" s="49" t="s">
        <v>44</v>
      </c>
      <c r="R293" s="95" t="s">
        <v>917</v>
      </c>
      <c r="S293" s="58">
        <v>0</v>
      </c>
      <c r="T293" s="58"/>
      <c r="U293" s="91">
        <v>5495487685.9200001</v>
      </c>
      <c r="V293" s="91"/>
      <c r="W293" s="53">
        <f>PROYECTOS_DIH[[#This Row],[VALOR DESEMBOLSOS PROYECTO]]/PROYECTOS_DIH[[#This Row],[Valor Proyecto Inicial.]]</f>
        <v>0</v>
      </c>
      <c r="X293" s="54">
        <v>0</v>
      </c>
      <c r="Y293" s="54" t="s">
        <v>1180</v>
      </c>
      <c r="Z293" s="55">
        <v>10794</v>
      </c>
      <c r="AA293" s="80" t="s">
        <v>935</v>
      </c>
      <c r="AB293" s="5" t="s">
        <v>1149</v>
      </c>
      <c r="AC293" s="56" t="s">
        <v>96</v>
      </c>
      <c r="AD293" s="59">
        <v>6.9638723520000001</v>
      </c>
      <c r="AE293" s="59">
        <v>-75.418833140000004</v>
      </c>
      <c r="AF293" s="5" t="s">
        <v>191</v>
      </c>
      <c r="AG293" s="110" t="s">
        <v>49</v>
      </c>
    </row>
    <row r="294" spans="1:33" s="99" customFormat="1" ht="11.4" customHeight="1" x14ac:dyDescent="0.2">
      <c r="A294" s="18" t="s">
        <v>938</v>
      </c>
      <c r="B294" s="43">
        <v>283</v>
      </c>
      <c r="C294" s="94">
        <v>16986</v>
      </c>
      <c r="D294" s="44">
        <v>2026</v>
      </c>
      <c r="E294" s="44" t="s">
        <v>939</v>
      </c>
      <c r="F294" s="45" t="s">
        <v>940</v>
      </c>
      <c r="G294" s="46">
        <v>46232</v>
      </c>
      <c r="H294" s="46">
        <v>46752</v>
      </c>
      <c r="I294" s="151" t="s">
        <v>166</v>
      </c>
      <c r="J294" s="48">
        <v>41001</v>
      </c>
      <c r="K294" s="73" t="s">
        <v>615</v>
      </c>
      <c r="L294" s="45" t="s">
        <v>39</v>
      </c>
      <c r="M294" s="62" t="s">
        <v>941</v>
      </c>
      <c r="N294" s="8" t="s">
        <v>942</v>
      </c>
      <c r="O294" s="49" t="s">
        <v>42</v>
      </c>
      <c r="P294" s="49"/>
      <c r="Q294" s="152" t="s">
        <v>44</v>
      </c>
      <c r="R294" s="50" t="s">
        <v>214</v>
      </c>
      <c r="S294" s="58">
        <v>0</v>
      </c>
      <c r="T294" s="58"/>
      <c r="U294" s="52">
        <v>5102711524</v>
      </c>
      <c r="V294" s="52"/>
      <c r="W294" s="79">
        <f>PROYECTOS_DIH[[#This Row],[VALOR DESEMBOLSOS PROYECTO]]/PROYECTOS_DIH[[#This Row],[Valor Proyecto Inicial.]]</f>
        <v>0</v>
      </c>
      <c r="X294" s="54">
        <v>0</v>
      </c>
      <c r="Y294" s="54" t="s">
        <v>1180</v>
      </c>
      <c r="Z294" s="55"/>
      <c r="AA294" s="80"/>
      <c r="AB294" s="106" t="s">
        <v>1155</v>
      </c>
      <c r="AC294" s="56"/>
      <c r="AD294" s="59">
        <v>2.9356044149999998</v>
      </c>
      <c r="AE294" s="59">
        <v>-75.277722589999996</v>
      </c>
      <c r="AF294" s="106" t="s">
        <v>172</v>
      </c>
      <c r="AG294" s="81" t="s">
        <v>80</v>
      </c>
    </row>
    <row r="295" spans="1:33" s="99" customFormat="1" ht="11.4" customHeight="1" x14ac:dyDescent="0.3">
      <c r="A295" s="1" t="s">
        <v>34</v>
      </c>
      <c r="B295" s="43">
        <v>285</v>
      </c>
      <c r="C295" s="191">
        <v>17050</v>
      </c>
      <c r="D295" s="19">
        <v>2026</v>
      </c>
      <c r="E295" s="44" t="s">
        <v>35</v>
      </c>
      <c r="F295" s="45" t="s">
        <v>36</v>
      </c>
      <c r="G295" s="46">
        <v>45653</v>
      </c>
      <c r="H295" s="46">
        <v>46441</v>
      </c>
      <c r="I295" s="111" t="s">
        <v>105</v>
      </c>
      <c r="J295" s="48">
        <v>68780</v>
      </c>
      <c r="K295" s="111" t="s">
        <v>948</v>
      </c>
      <c r="L295" s="112" t="s">
        <v>55</v>
      </c>
      <c r="M295" s="111" t="s">
        <v>828</v>
      </c>
      <c r="N295" s="111" t="s">
        <v>949</v>
      </c>
      <c r="O295" s="45" t="s">
        <v>42</v>
      </c>
      <c r="P295" s="49"/>
      <c r="Q295" s="45" t="s">
        <v>44</v>
      </c>
      <c r="R295" s="2" t="s">
        <v>214</v>
      </c>
      <c r="S295" s="51">
        <v>0</v>
      </c>
      <c r="T295" s="51"/>
      <c r="U295" s="113">
        <v>3027752416.5500002</v>
      </c>
      <c r="V295" s="113"/>
      <c r="W295" s="79">
        <f>PROYECTOS_DIH[[#This Row],[VALOR DESEMBOLSOS PROYECTO]]/PROYECTOS_DIH[[#This Row],[Valor Proyecto Inicial.]]</f>
        <v>0</v>
      </c>
      <c r="X295" s="54"/>
      <c r="Y295" s="54" t="s">
        <v>1180</v>
      </c>
      <c r="Z295" s="92">
        <v>4937</v>
      </c>
      <c r="AA295" s="57" t="s">
        <v>215</v>
      </c>
      <c r="AB295" s="5" t="s">
        <v>1154</v>
      </c>
      <c r="AC295" s="56" t="s">
        <v>96</v>
      </c>
      <c r="AD295" s="59">
        <v>7.3665795689999998</v>
      </c>
      <c r="AE295" s="59">
        <v>-72.984231969999996</v>
      </c>
      <c r="AF295" s="5" t="s">
        <v>109</v>
      </c>
      <c r="AG295" s="93" t="s">
        <v>110</v>
      </c>
    </row>
    <row r="296" spans="1:33" s="99" customFormat="1" ht="11.4" customHeight="1" x14ac:dyDescent="0.3">
      <c r="A296" s="1" t="s">
        <v>34</v>
      </c>
      <c r="B296" s="43">
        <v>286</v>
      </c>
      <c r="C296" s="191">
        <v>17066</v>
      </c>
      <c r="D296" s="19">
        <v>2026</v>
      </c>
      <c r="E296" s="44" t="s">
        <v>35</v>
      </c>
      <c r="F296" s="45" t="s">
        <v>36</v>
      </c>
      <c r="G296" s="46">
        <v>45653</v>
      </c>
      <c r="H296" s="46">
        <v>46441</v>
      </c>
      <c r="I296" s="111" t="s">
        <v>111</v>
      </c>
      <c r="J296" s="48">
        <v>44847</v>
      </c>
      <c r="K296" s="153" t="s">
        <v>950</v>
      </c>
      <c r="L296" s="112" t="s">
        <v>70</v>
      </c>
      <c r="M296" s="111" t="s">
        <v>951</v>
      </c>
      <c r="N296" s="111" t="s">
        <v>952</v>
      </c>
      <c r="O296" s="45" t="s">
        <v>42</v>
      </c>
      <c r="P296" s="49"/>
      <c r="Q296" s="2" t="s">
        <v>44</v>
      </c>
      <c r="R296" s="2" t="s">
        <v>214</v>
      </c>
      <c r="S296" s="51">
        <v>0</v>
      </c>
      <c r="T296" s="51"/>
      <c r="U296" s="113">
        <v>2504541173.0999999</v>
      </c>
      <c r="V296" s="113"/>
      <c r="W296" s="79">
        <f>PROYECTOS_DIH[[#This Row],[VALOR DESEMBOLSOS PROYECTO]]/PROYECTOS_DIH[[#This Row],[Valor Proyecto Inicial.]]</f>
        <v>0</v>
      </c>
      <c r="X296" s="54">
        <v>0</v>
      </c>
      <c r="Y296" s="54" t="s">
        <v>1180</v>
      </c>
      <c r="Z296" s="55"/>
      <c r="AA296" s="57" t="s">
        <v>215</v>
      </c>
      <c r="AB296" s="5" t="s">
        <v>1144</v>
      </c>
      <c r="AC296" s="56" t="s">
        <v>62</v>
      </c>
      <c r="AD296" s="59">
        <v>11.714645819999999</v>
      </c>
      <c r="AE296" s="59">
        <v>-72.264760629999998</v>
      </c>
      <c r="AF296" s="5" t="s">
        <v>113</v>
      </c>
      <c r="AG296" s="71" t="s">
        <v>64</v>
      </c>
    </row>
    <row r="297" spans="1:33" s="99" customFormat="1" ht="11.4" customHeight="1" x14ac:dyDescent="0.3">
      <c r="A297" s="1" t="s">
        <v>34</v>
      </c>
      <c r="B297" s="43">
        <v>287</v>
      </c>
      <c r="C297" s="191">
        <v>17067</v>
      </c>
      <c r="D297" s="19">
        <v>2026</v>
      </c>
      <c r="E297" s="44" t="s">
        <v>35</v>
      </c>
      <c r="F297" s="45" t="s">
        <v>36</v>
      </c>
      <c r="G297" s="46">
        <v>45653</v>
      </c>
      <c r="H297" s="46">
        <v>46441</v>
      </c>
      <c r="I297" s="112" t="s">
        <v>68</v>
      </c>
      <c r="J297" s="48">
        <v>76109</v>
      </c>
      <c r="K297" s="8" t="s">
        <v>410</v>
      </c>
      <c r="L297" s="112" t="s">
        <v>70</v>
      </c>
      <c r="M297" s="112" t="s">
        <v>332</v>
      </c>
      <c r="N297" s="112" t="s">
        <v>953</v>
      </c>
      <c r="O297" s="125" t="s">
        <v>42</v>
      </c>
      <c r="P297" s="49"/>
      <c r="Q297" s="45" t="s">
        <v>44</v>
      </c>
      <c r="R297" s="125" t="s">
        <v>214</v>
      </c>
      <c r="S297" s="51">
        <v>0</v>
      </c>
      <c r="T297" s="51"/>
      <c r="U297" s="113">
        <v>1113600000</v>
      </c>
      <c r="V297" s="113"/>
      <c r="W297" s="79">
        <f>PROYECTOS_DIH[[#This Row],[VALOR DESEMBOLSOS PROYECTO]]/PROYECTOS_DIH[[#This Row],[Valor Proyecto Inicial.]]</f>
        <v>1</v>
      </c>
      <c r="X297" s="54">
        <v>1113600000</v>
      </c>
      <c r="Y297" s="54" t="s">
        <v>1180</v>
      </c>
      <c r="Z297" s="55"/>
      <c r="AA297" s="57" t="s">
        <v>215</v>
      </c>
      <c r="AB297" s="5" t="s">
        <v>1137</v>
      </c>
      <c r="AC297" s="56" t="s">
        <v>47</v>
      </c>
      <c r="AD297" s="59">
        <v>3.8758024369999999</v>
      </c>
      <c r="AE297" s="59">
        <v>-77.011740200000006</v>
      </c>
      <c r="AF297" s="5" t="s">
        <v>74</v>
      </c>
      <c r="AG297" s="77" t="s">
        <v>75</v>
      </c>
    </row>
    <row r="298" spans="1:33" s="99" customFormat="1" ht="11.4" customHeight="1" x14ac:dyDescent="0.3">
      <c r="A298" s="7" t="s">
        <v>114</v>
      </c>
      <c r="B298" s="43">
        <v>115</v>
      </c>
      <c r="C298" s="94">
        <v>17068</v>
      </c>
      <c r="D298" s="44">
        <v>2025</v>
      </c>
      <c r="E298" s="44" t="s">
        <v>103</v>
      </c>
      <c r="F298" s="5" t="s">
        <v>479</v>
      </c>
      <c r="G298" s="11">
        <v>45968</v>
      </c>
      <c r="H298" s="11">
        <v>46721</v>
      </c>
      <c r="I298" s="5" t="s">
        <v>105</v>
      </c>
      <c r="J298" s="82">
        <v>68147</v>
      </c>
      <c r="K298" s="5" t="s">
        <v>106</v>
      </c>
      <c r="L298" s="8" t="s">
        <v>70</v>
      </c>
      <c r="M298" s="5" t="s">
        <v>71</v>
      </c>
      <c r="N298" s="45" t="s">
        <v>480</v>
      </c>
      <c r="O298" s="45" t="s">
        <v>119</v>
      </c>
      <c r="P298" s="45"/>
      <c r="Q298" s="45" t="s">
        <v>120</v>
      </c>
      <c r="R298" s="95" t="s">
        <v>121</v>
      </c>
      <c r="S298" s="58">
        <v>0</v>
      </c>
      <c r="T298" s="58"/>
      <c r="U298" s="91">
        <v>0</v>
      </c>
      <c r="V298" s="91"/>
      <c r="W298" s="53" t="e">
        <f>PROYECTOS_DIH[[#This Row],[VALOR DESEMBOLSOS PROYECTO]]/PROYECTOS_DIH[[#This Row],[Valor Proyecto Inicial.]]</f>
        <v>#DIV/0!</v>
      </c>
      <c r="X298" s="54">
        <v>0</v>
      </c>
      <c r="Y298" s="54" t="s">
        <v>1180</v>
      </c>
      <c r="Z298" s="92"/>
      <c r="AA298" s="57" t="s">
        <v>108</v>
      </c>
      <c r="AB298" s="5" t="s">
        <v>1154</v>
      </c>
      <c r="AC298" s="56" t="s">
        <v>62</v>
      </c>
      <c r="AD298" s="59">
        <v>6.5331799820000001</v>
      </c>
      <c r="AE298" s="59">
        <v>-72.699199590000006</v>
      </c>
      <c r="AF298" s="5" t="s">
        <v>109</v>
      </c>
      <c r="AG298" s="93" t="s">
        <v>110</v>
      </c>
    </row>
    <row r="299" spans="1:33" s="99" customFormat="1" ht="11.4" customHeight="1" x14ac:dyDescent="0.3">
      <c r="A299" s="1" t="s">
        <v>34</v>
      </c>
      <c r="B299" s="43">
        <v>288</v>
      </c>
      <c r="C299" s="94">
        <v>17068</v>
      </c>
      <c r="D299" s="19">
        <v>2026</v>
      </c>
      <c r="E299" s="44" t="s">
        <v>35</v>
      </c>
      <c r="F299" s="45" t="s">
        <v>36</v>
      </c>
      <c r="G299" s="46">
        <v>45653</v>
      </c>
      <c r="H299" s="46">
        <v>46441</v>
      </c>
      <c r="I299" s="112" t="s">
        <v>105</v>
      </c>
      <c r="J299" s="82">
        <v>68147</v>
      </c>
      <c r="K299" s="112" t="s">
        <v>106</v>
      </c>
      <c r="L299" s="112" t="s">
        <v>70</v>
      </c>
      <c r="M299" s="112" t="s">
        <v>71</v>
      </c>
      <c r="N299" s="112" t="s">
        <v>480</v>
      </c>
      <c r="O299" s="125" t="s">
        <v>42</v>
      </c>
      <c r="P299" s="49"/>
      <c r="Q299" s="45" t="s">
        <v>44</v>
      </c>
      <c r="R299" s="125" t="s">
        <v>214</v>
      </c>
      <c r="S299" s="51">
        <v>0</v>
      </c>
      <c r="T299" s="51"/>
      <c r="U299" s="113">
        <v>5791648821.0699997</v>
      </c>
      <c r="V299" s="113"/>
      <c r="W299" s="79">
        <f>PROYECTOS_DIH[[#This Row],[VALOR DESEMBOLSOS PROYECTO]]/PROYECTOS_DIH[[#This Row],[Valor Proyecto Inicial.]]</f>
        <v>0</v>
      </c>
      <c r="X299" s="54"/>
      <c r="Y299" s="54" t="s">
        <v>1180</v>
      </c>
      <c r="Z299" s="55"/>
      <c r="AA299" s="57" t="s">
        <v>954</v>
      </c>
      <c r="AB299" s="5" t="s">
        <v>1154</v>
      </c>
      <c r="AC299" s="56" t="s">
        <v>62</v>
      </c>
      <c r="AD299" s="59">
        <v>6.5331799820000001</v>
      </c>
      <c r="AE299" s="59">
        <v>-72.699199590000006</v>
      </c>
      <c r="AF299" s="5" t="s">
        <v>109</v>
      </c>
      <c r="AG299" s="93" t="s">
        <v>110</v>
      </c>
    </row>
    <row r="300" spans="1:33" s="99" customFormat="1" ht="11.4" customHeight="1" x14ac:dyDescent="0.3">
      <c r="A300" s="1" t="s">
        <v>34</v>
      </c>
      <c r="B300" s="43">
        <v>289</v>
      </c>
      <c r="C300" s="191">
        <v>17070</v>
      </c>
      <c r="D300" s="19">
        <v>2026</v>
      </c>
      <c r="E300" s="44" t="s">
        <v>35</v>
      </c>
      <c r="F300" s="45" t="s">
        <v>36</v>
      </c>
      <c r="G300" s="46">
        <v>45653</v>
      </c>
      <c r="H300" s="46">
        <v>46441</v>
      </c>
      <c r="I300" s="153" t="s">
        <v>111</v>
      </c>
      <c r="J300" s="48">
        <v>44847</v>
      </c>
      <c r="K300" s="153" t="s">
        <v>950</v>
      </c>
      <c r="L300" s="112" t="s">
        <v>70</v>
      </c>
      <c r="M300" s="112" t="s">
        <v>71</v>
      </c>
      <c r="N300" s="111" t="s">
        <v>955</v>
      </c>
      <c r="O300" s="2" t="s">
        <v>42</v>
      </c>
      <c r="P300" s="49"/>
      <c r="Q300" s="2" t="s">
        <v>44</v>
      </c>
      <c r="R300" s="2" t="s">
        <v>214</v>
      </c>
      <c r="S300" s="51">
        <v>0</v>
      </c>
      <c r="T300" s="51"/>
      <c r="U300" s="113">
        <v>4688200531.1000004</v>
      </c>
      <c r="V300" s="113"/>
      <c r="W300" s="79">
        <f>PROYECTOS_DIH[[#This Row],[VALOR DESEMBOLSOS PROYECTO]]/PROYECTOS_DIH[[#This Row],[Valor Proyecto Inicial.]]</f>
        <v>1</v>
      </c>
      <c r="X300" s="54">
        <v>4688200531.1000004</v>
      </c>
      <c r="Y300" s="54" t="s">
        <v>1180</v>
      </c>
      <c r="Z300" s="55"/>
      <c r="AA300" s="57" t="s">
        <v>954</v>
      </c>
      <c r="AB300" s="5" t="s">
        <v>1144</v>
      </c>
      <c r="AC300" s="56" t="s">
        <v>62</v>
      </c>
      <c r="AD300" s="59">
        <v>11.714645819999999</v>
      </c>
      <c r="AE300" s="59">
        <v>-72.264760629999998</v>
      </c>
      <c r="AF300" s="5" t="s">
        <v>113</v>
      </c>
      <c r="AG300" s="71" t="s">
        <v>64</v>
      </c>
    </row>
    <row r="301" spans="1:33" s="99" customFormat="1" ht="11.4" customHeight="1" x14ac:dyDescent="0.3">
      <c r="A301" s="1" t="s">
        <v>34</v>
      </c>
      <c r="B301" s="43">
        <v>290</v>
      </c>
      <c r="C301" s="191">
        <v>17071</v>
      </c>
      <c r="D301" s="19">
        <v>2026</v>
      </c>
      <c r="E301" s="44" t="s">
        <v>35</v>
      </c>
      <c r="F301" s="45" t="s">
        <v>36</v>
      </c>
      <c r="G301" s="46">
        <v>45653</v>
      </c>
      <c r="H301" s="46">
        <v>46441</v>
      </c>
      <c r="I301" s="111" t="s">
        <v>394</v>
      </c>
      <c r="J301" s="48">
        <v>70235</v>
      </c>
      <c r="K301" s="111" t="s">
        <v>613</v>
      </c>
      <c r="L301" s="112" t="s">
        <v>70</v>
      </c>
      <c r="M301" s="111" t="s">
        <v>71</v>
      </c>
      <c r="N301" s="111" t="s">
        <v>956</v>
      </c>
      <c r="O301" s="2" t="s">
        <v>42</v>
      </c>
      <c r="P301" s="49"/>
      <c r="Q301" s="2" t="s">
        <v>44</v>
      </c>
      <c r="R301" s="2" t="s">
        <v>214</v>
      </c>
      <c r="S301" s="51">
        <v>0</v>
      </c>
      <c r="T301" s="51"/>
      <c r="U301" s="113">
        <v>4317177801.7200003</v>
      </c>
      <c r="V301" s="113"/>
      <c r="W301" s="79">
        <f>PROYECTOS_DIH[[#This Row],[VALOR DESEMBOLSOS PROYECTO]]/PROYECTOS_DIH[[#This Row],[Valor Proyecto Inicial.]]</f>
        <v>1</v>
      </c>
      <c r="X301" s="54">
        <v>4317177801.7200003</v>
      </c>
      <c r="Y301" s="54" t="s">
        <v>1180</v>
      </c>
      <c r="Z301" s="92">
        <v>46344</v>
      </c>
      <c r="AA301" s="57" t="s">
        <v>954</v>
      </c>
      <c r="AB301" s="5" t="s">
        <v>1133</v>
      </c>
      <c r="AC301" s="56" t="s">
        <v>62</v>
      </c>
      <c r="AD301" s="59">
        <v>9.1596726190000002</v>
      </c>
      <c r="AE301" s="59">
        <v>-75.049420019999999</v>
      </c>
      <c r="AF301" s="5" t="s">
        <v>397</v>
      </c>
      <c r="AG301" s="71" t="s">
        <v>64</v>
      </c>
    </row>
    <row r="302" spans="1:33" s="99" customFormat="1" ht="11.4" customHeight="1" x14ac:dyDescent="0.3">
      <c r="A302" s="1" t="s">
        <v>34</v>
      </c>
      <c r="B302" s="43">
        <v>291</v>
      </c>
      <c r="C302" s="191">
        <v>17072</v>
      </c>
      <c r="D302" s="19">
        <v>2026</v>
      </c>
      <c r="E302" s="44" t="s">
        <v>35</v>
      </c>
      <c r="F302" s="45" t="s">
        <v>36</v>
      </c>
      <c r="G302" s="46">
        <v>45653</v>
      </c>
      <c r="H302" s="46">
        <v>46441</v>
      </c>
      <c r="I302" s="112" t="s">
        <v>149</v>
      </c>
      <c r="J302" s="48">
        <v>47692</v>
      </c>
      <c r="K302" s="112" t="s">
        <v>957</v>
      </c>
      <c r="L302" s="112" t="s">
        <v>70</v>
      </c>
      <c r="M302" s="112" t="s">
        <v>71</v>
      </c>
      <c r="N302" s="112" t="s">
        <v>958</v>
      </c>
      <c r="O302" s="45" t="s">
        <v>42</v>
      </c>
      <c r="P302" s="49"/>
      <c r="Q302" s="2" t="s">
        <v>44</v>
      </c>
      <c r="R302" s="2" t="s">
        <v>121</v>
      </c>
      <c r="S302" s="51">
        <v>0</v>
      </c>
      <c r="T302" s="51"/>
      <c r="U302" s="113">
        <v>4317177801.7200003</v>
      </c>
      <c r="V302" s="113"/>
      <c r="W302" s="79">
        <f>PROYECTOS_DIH[[#This Row],[VALOR DESEMBOLSOS PROYECTO]]/PROYECTOS_DIH[[#This Row],[Valor Proyecto Inicial.]]</f>
        <v>1</v>
      </c>
      <c r="X302" s="54">
        <v>4317177801.7200003</v>
      </c>
      <c r="Y302" s="54" t="s">
        <v>1180</v>
      </c>
      <c r="Z302" s="92">
        <v>12012</v>
      </c>
      <c r="AA302" s="57" t="s">
        <v>954</v>
      </c>
      <c r="AB302" s="5" t="s">
        <v>1139</v>
      </c>
      <c r="AC302" s="56" t="s">
        <v>62</v>
      </c>
      <c r="AD302" s="59">
        <v>9.24050525</v>
      </c>
      <c r="AE302" s="59">
        <v>-74.351675139999998</v>
      </c>
      <c r="AF302" s="5" t="s">
        <v>150</v>
      </c>
      <c r="AG302" s="71" t="s">
        <v>64</v>
      </c>
    </row>
    <row r="303" spans="1:33" s="99" customFormat="1" ht="11.4" customHeight="1" x14ac:dyDescent="0.3">
      <c r="A303" s="1" t="s">
        <v>34</v>
      </c>
      <c r="B303" s="43">
        <v>292</v>
      </c>
      <c r="C303" s="191">
        <v>17073</v>
      </c>
      <c r="D303" s="19">
        <v>2026</v>
      </c>
      <c r="E303" s="44" t="s">
        <v>35</v>
      </c>
      <c r="F303" s="45" t="s">
        <v>36</v>
      </c>
      <c r="G303" s="46">
        <v>45653</v>
      </c>
      <c r="H303" s="46">
        <v>46441</v>
      </c>
      <c r="I303" s="112" t="s">
        <v>394</v>
      </c>
      <c r="J303" s="48">
        <v>70678</v>
      </c>
      <c r="K303" s="112" t="s">
        <v>959</v>
      </c>
      <c r="L303" s="112" t="s">
        <v>70</v>
      </c>
      <c r="M303" s="112" t="s">
        <v>71</v>
      </c>
      <c r="N303" s="112" t="s">
        <v>960</v>
      </c>
      <c r="O303" s="45" t="s">
        <v>42</v>
      </c>
      <c r="P303" s="49"/>
      <c r="Q303" s="2" t="s">
        <v>44</v>
      </c>
      <c r="R303" s="2" t="s">
        <v>121</v>
      </c>
      <c r="S303" s="51">
        <v>0</v>
      </c>
      <c r="T303" s="51"/>
      <c r="U303" s="113">
        <v>4317177801.7200003</v>
      </c>
      <c r="V303" s="113"/>
      <c r="W303" s="79">
        <f>PROYECTOS_DIH[[#This Row],[VALOR DESEMBOLSOS PROYECTO]]/PROYECTOS_DIH[[#This Row],[Valor Proyecto Inicial.]]</f>
        <v>1</v>
      </c>
      <c r="X303" s="54">
        <v>4317177801.7200003</v>
      </c>
      <c r="Y303" s="54" t="s">
        <v>1180</v>
      </c>
      <c r="Z303" s="92">
        <v>59948</v>
      </c>
      <c r="AA303" s="57" t="s">
        <v>954</v>
      </c>
      <c r="AB303" s="5" t="s">
        <v>1133</v>
      </c>
      <c r="AC303" s="56" t="s">
        <v>62</v>
      </c>
      <c r="AD303" s="59">
        <v>8.9299710599999997</v>
      </c>
      <c r="AE303" s="59">
        <v>-75.031160810000003</v>
      </c>
      <c r="AF303" s="5" t="s">
        <v>397</v>
      </c>
      <c r="AG303" s="71" t="s">
        <v>64</v>
      </c>
    </row>
    <row r="304" spans="1:33" s="99" customFormat="1" ht="11.4" customHeight="1" x14ac:dyDescent="0.3">
      <c r="A304" s="1" t="s">
        <v>34</v>
      </c>
      <c r="B304" s="43">
        <v>293</v>
      </c>
      <c r="C304" s="191">
        <v>17074</v>
      </c>
      <c r="D304" s="19">
        <v>2026</v>
      </c>
      <c r="E304" s="44" t="s">
        <v>35</v>
      </c>
      <c r="F304" s="45" t="s">
        <v>36</v>
      </c>
      <c r="G304" s="46">
        <v>45653</v>
      </c>
      <c r="H304" s="46">
        <v>46441</v>
      </c>
      <c r="I304" s="112" t="s">
        <v>189</v>
      </c>
      <c r="J304" s="48">
        <v>5145</v>
      </c>
      <c r="K304" s="112" t="s">
        <v>961</v>
      </c>
      <c r="L304" s="8" t="s">
        <v>70</v>
      </c>
      <c r="M304" s="112" t="s">
        <v>962</v>
      </c>
      <c r="N304" s="112" t="s">
        <v>963</v>
      </c>
      <c r="O304" s="125" t="s">
        <v>42</v>
      </c>
      <c r="P304" s="49"/>
      <c r="Q304" s="45" t="s">
        <v>44</v>
      </c>
      <c r="R304" s="125" t="s">
        <v>214</v>
      </c>
      <c r="S304" s="51">
        <v>0</v>
      </c>
      <c r="T304" s="51"/>
      <c r="U304" s="113">
        <v>4455074400</v>
      </c>
      <c r="V304" s="113"/>
      <c r="W304" s="79">
        <f>PROYECTOS_DIH[[#This Row],[VALOR DESEMBOLSOS PROYECTO]]/PROYECTOS_DIH[[#This Row],[Valor Proyecto Inicial.]]</f>
        <v>0</v>
      </c>
      <c r="X304" s="54"/>
      <c r="Y304" s="54" t="s">
        <v>1180</v>
      </c>
      <c r="Z304" s="55"/>
      <c r="AA304" s="57" t="s">
        <v>954</v>
      </c>
      <c r="AB304" s="5" t="s">
        <v>1149</v>
      </c>
      <c r="AC304" s="56" t="s">
        <v>62</v>
      </c>
      <c r="AD304" s="59">
        <v>5.5485304040000001</v>
      </c>
      <c r="AE304" s="59">
        <v>-75.643868449999999</v>
      </c>
      <c r="AF304" s="5" t="s">
        <v>191</v>
      </c>
      <c r="AG304" s="110" t="s">
        <v>49</v>
      </c>
    </row>
    <row r="305" spans="1:33" s="99" customFormat="1" ht="11.4" customHeight="1" x14ac:dyDescent="0.3">
      <c r="A305" s="1" t="s">
        <v>34</v>
      </c>
      <c r="B305" s="43">
        <v>297</v>
      </c>
      <c r="C305" s="191">
        <v>17075</v>
      </c>
      <c r="D305" s="19">
        <v>2026</v>
      </c>
      <c r="E305" s="44" t="s">
        <v>35</v>
      </c>
      <c r="F305" s="45" t="s">
        <v>36</v>
      </c>
      <c r="G305" s="46">
        <v>45653</v>
      </c>
      <c r="H305" s="46">
        <v>46441</v>
      </c>
      <c r="I305" s="111" t="s">
        <v>124</v>
      </c>
      <c r="J305" s="48">
        <v>66088</v>
      </c>
      <c r="K305" s="111" t="s">
        <v>972</v>
      </c>
      <c r="L305" s="112" t="s">
        <v>70</v>
      </c>
      <c r="M305" s="112" t="s">
        <v>71</v>
      </c>
      <c r="N305" s="111" t="s">
        <v>973</v>
      </c>
      <c r="O305" s="2" t="s">
        <v>42</v>
      </c>
      <c r="P305" s="49"/>
      <c r="Q305" s="45" t="s">
        <v>44</v>
      </c>
      <c r="R305" s="2" t="s">
        <v>214</v>
      </c>
      <c r="S305" s="51">
        <v>0</v>
      </c>
      <c r="T305" s="51"/>
      <c r="U305" s="113">
        <v>4317177801.7200003</v>
      </c>
      <c r="V305" s="113"/>
      <c r="W305" s="79">
        <f>PROYECTOS_DIH[[#This Row],[VALOR DESEMBOLSOS PROYECTO]]/PROYECTOS_DIH[[#This Row],[Valor Proyecto Inicial.]]</f>
        <v>1</v>
      </c>
      <c r="X305" s="54">
        <v>4317177801.7200003</v>
      </c>
      <c r="Y305" s="54" t="s">
        <v>1180</v>
      </c>
      <c r="Z305" s="55"/>
      <c r="AA305" s="57" t="s">
        <v>954</v>
      </c>
      <c r="AB305" s="5" t="s">
        <v>1135</v>
      </c>
      <c r="AC305" s="56" t="s">
        <v>62</v>
      </c>
      <c r="AD305" s="59">
        <v>5.2006453759999998</v>
      </c>
      <c r="AE305" s="59">
        <v>-75.868218519999999</v>
      </c>
      <c r="AF305" s="5" t="s">
        <v>129</v>
      </c>
      <c r="AG305" s="60" t="s">
        <v>49</v>
      </c>
    </row>
    <row r="306" spans="1:33" s="99" customFormat="1" ht="11.4" customHeight="1" x14ac:dyDescent="0.3">
      <c r="A306" s="1" t="s">
        <v>34</v>
      </c>
      <c r="B306" s="43">
        <v>298</v>
      </c>
      <c r="C306" s="191">
        <v>17076</v>
      </c>
      <c r="D306" s="19">
        <v>2026</v>
      </c>
      <c r="E306" s="44" t="s">
        <v>35</v>
      </c>
      <c r="F306" s="45" t="s">
        <v>36</v>
      </c>
      <c r="G306" s="46">
        <v>45653</v>
      </c>
      <c r="H306" s="46">
        <v>46441</v>
      </c>
      <c r="I306" s="112" t="s">
        <v>68</v>
      </c>
      <c r="J306" s="48">
        <v>76497</v>
      </c>
      <c r="K306" s="112" t="s">
        <v>974</v>
      </c>
      <c r="L306" s="112" t="s">
        <v>70</v>
      </c>
      <c r="M306" s="112" t="s">
        <v>962</v>
      </c>
      <c r="N306" s="112" t="s">
        <v>975</v>
      </c>
      <c r="O306" s="45" t="s">
        <v>42</v>
      </c>
      <c r="P306" s="49"/>
      <c r="Q306" s="2" t="s">
        <v>44</v>
      </c>
      <c r="R306" s="125" t="s">
        <v>214</v>
      </c>
      <c r="S306" s="51">
        <v>0</v>
      </c>
      <c r="T306" s="51"/>
      <c r="U306" s="113">
        <v>4455074400</v>
      </c>
      <c r="V306" s="113"/>
      <c r="W306" s="79">
        <f>PROYECTOS_DIH[[#This Row],[VALOR DESEMBOLSOS PROYECTO]]/PROYECTOS_DIH[[#This Row],[Valor Proyecto Inicial.]]</f>
        <v>0</v>
      </c>
      <c r="X306" s="54"/>
      <c r="Y306" s="54" t="s">
        <v>1180</v>
      </c>
      <c r="Z306" s="55"/>
      <c r="AA306" s="57" t="s">
        <v>954</v>
      </c>
      <c r="AB306" s="5" t="s">
        <v>1137</v>
      </c>
      <c r="AC306" s="56" t="s">
        <v>62</v>
      </c>
      <c r="AD306" s="59">
        <v>4.5757227049999996</v>
      </c>
      <c r="AE306" s="59">
        <v>-75.974688729999997</v>
      </c>
      <c r="AF306" s="5" t="s">
        <v>74</v>
      </c>
      <c r="AG306" s="77" t="s">
        <v>75</v>
      </c>
    </row>
    <row r="307" spans="1:33" s="99" customFormat="1" ht="11.4" customHeight="1" x14ac:dyDescent="0.3">
      <c r="A307" s="1" t="s">
        <v>34</v>
      </c>
      <c r="B307" s="43">
        <v>299</v>
      </c>
      <c r="C307" s="191">
        <v>17077</v>
      </c>
      <c r="D307" s="19">
        <v>2026</v>
      </c>
      <c r="E307" s="44" t="s">
        <v>35</v>
      </c>
      <c r="F307" s="45" t="s">
        <v>36</v>
      </c>
      <c r="G307" s="46">
        <v>45653</v>
      </c>
      <c r="H307" s="46">
        <v>46441</v>
      </c>
      <c r="I307" s="111" t="s">
        <v>386</v>
      </c>
      <c r="J307" s="48">
        <v>20770</v>
      </c>
      <c r="K307" s="111" t="s">
        <v>976</v>
      </c>
      <c r="L307" s="112" t="s">
        <v>70</v>
      </c>
      <c r="M307" s="112" t="s">
        <v>71</v>
      </c>
      <c r="N307" s="111" t="s">
        <v>977</v>
      </c>
      <c r="O307" s="45" t="s">
        <v>42</v>
      </c>
      <c r="P307" s="49"/>
      <c r="Q307" s="2" t="s">
        <v>44</v>
      </c>
      <c r="R307" s="2" t="s">
        <v>121</v>
      </c>
      <c r="S307" s="51">
        <v>0</v>
      </c>
      <c r="T307" s="51"/>
      <c r="U307" s="113">
        <v>4317177801.7200003</v>
      </c>
      <c r="V307" s="113"/>
      <c r="W307" s="79">
        <f>PROYECTOS_DIH[[#This Row],[VALOR DESEMBOLSOS PROYECTO]]/PROYECTOS_DIH[[#This Row],[Valor Proyecto Inicial.]]</f>
        <v>1</v>
      </c>
      <c r="X307" s="54">
        <v>4317177801.7200003</v>
      </c>
      <c r="Y307" s="54" t="s">
        <v>1180</v>
      </c>
      <c r="Z307" s="55"/>
      <c r="AA307" s="57" t="s">
        <v>954</v>
      </c>
      <c r="AB307" s="5" t="s">
        <v>1168</v>
      </c>
      <c r="AC307" s="56" t="s">
        <v>62</v>
      </c>
      <c r="AD307" s="59">
        <v>7.9998954590000002</v>
      </c>
      <c r="AE307" s="59">
        <v>-73.510975180000003</v>
      </c>
      <c r="AF307" s="5" t="s">
        <v>978</v>
      </c>
      <c r="AG307" s="71" t="s">
        <v>64</v>
      </c>
    </row>
    <row r="308" spans="1:33" s="99" customFormat="1" ht="11.4" customHeight="1" x14ac:dyDescent="0.3">
      <c r="A308" s="1" t="s">
        <v>34</v>
      </c>
      <c r="B308" s="43">
        <v>300</v>
      </c>
      <c r="C308" s="191">
        <v>17078</v>
      </c>
      <c r="D308" s="19">
        <v>2026</v>
      </c>
      <c r="E308" s="44" t="s">
        <v>35</v>
      </c>
      <c r="F308" s="45" t="s">
        <v>36</v>
      </c>
      <c r="G308" s="46">
        <v>45653</v>
      </c>
      <c r="H308" s="46">
        <v>46441</v>
      </c>
      <c r="I308" s="112" t="s">
        <v>176</v>
      </c>
      <c r="J308" s="48">
        <v>54820</v>
      </c>
      <c r="K308" s="112" t="s">
        <v>979</v>
      </c>
      <c r="L308" s="112" t="s">
        <v>70</v>
      </c>
      <c r="M308" s="112" t="s">
        <v>71</v>
      </c>
      <c r="N308" s="112" t="s">
        <v>980</v>
      </c>
      <c r="O308" s="45" t="s">
        <v>42</v>
      </c>
      <c r="P308" s="49"/>
      <c r="Q308" s="2" t="s">
        <v>44</v>
      </c>
      <c r="R308" s="125" t="s">
        <v>214</v>
      </c>
      <c r="S308" s="51">
        <v>0</v>
      </c>
      <c r="T308" s="51"/>
      <c r="U308" s="113">
        <v>4317177801.7200003</v>
      </c>
      <c r="V308" s="113"/>
      <c r="W308" s="79">
        <f>PROYECTOS_DIH[[#This Row],[VALOR DESEMBOLSOS PROYECTO]]/PROYECTOS_DIH[[#This Row],[Valor Proyecto Inicial.]]</f>
        <v>1</v>
      </c>
      <c r="X308" s="54">
        <v>4317177801.7200003</v>
      </c>
      <c r="Y308" s="54" t="s">
        <v>1180</v>
      </c>
      <c r="Z308" s="92">
        <v>1500</v>
      </c>
      <c r="AA308" s="57" t="s">
        <v>954</v>
      </c>
      <c r="AB308" s="5" t="s">
        <v>1136</v>
      </c>
      <c r="AC308" s="56" t="s">
        <v>62</v>
      </c>
      <c r="AD308" s="59">
        <v>7.3100318279999996</v>
      </c>
      <c r="AE308" s="59">
        <v>-72.485107319999997</v>
      </c>
      <c r="AF308" s="5" t="s">
        <v>180</v>
      </c>
      <c r="AG308" s="126" t="s">
        <v>110</v>
      </c>
    </row>
    <row r="309" spans="1:33" s="99" customFormat="1" ht="11.4" customHeight="1" x14ac:dyDescent="0.3">
      <c r="A309" s="1" t="s">
        <v>34</v>
      </c>
      <c r="B309" s="43">
        <v>303</v>
      </c>
      <c r="C309" s="191">
        <v>17079</v>
      </c>
      <c r="D309" s="19">
        <v>2026</v>
      </c>
      <c r="E309" s="44" t="s">
        <v>35</v>
      </c>
      <c r="F309" s="45" t="s">
        <v>36</v>
      </c>
      <c r="G309" s="46">
        <v>45653</v>
      </c>
      <c r="H309" s="46">
        <v>46441</v>
      </c>
      <c r="I309" s="111" t="s">
        <v>105</v>
      </c>
      <c r="J309" s="48">
        <v>68679</v>
      </c>
      <c r="K309" s="111" t="s">
        <v>986</v>
      </c>
      <c r="L309" s="112" t="s">
        <v>70</v>
      </c>
      <c r="M309" s="112" t="s">
        <v>71</v>
      </c>
      <c r="N309" s="111" t="s">
        <v>987</v>
      </c>
      <c r="O309" s="45" t="s">
        <v>42</v>
      </c>
      <c r="P309" s="49"/>
      <c r="Q309" s="2" t="s">
        <v>44</v>
      </c>
      <c r="R309" s="2" t="s">
        <v>121</v>
      </c>
      <c r="S309" s="51">
        <v>0</v>
      </c>
      <c r="T309" s="51"/>
      <c r="U309" s="113">
        <v>4317177801.7200003</v>
      </c>
      <c r="V309" s="113"/>
      <c r="W309" s="79">
        <f>PROYECTOS_DIH[[#This Row],[VALOR DESEMBOLSOS PROYECTO]]/PROYECTOS_DIH[[#This Row],[Valor Proyecto Inicial.]]</f>
        <v>1</v>
      </c>
      <c r="X309" s="54">
        <v>4317177801.7200003</v>
      </c>
      <c r="Y309" s="54" t="s">
        <v>1180</v>
      </c>
      <c r="Z309" s="92">
        <v>59040</v>
      </c>
      <c r="AA309" s="57" t="s">
        <v>954</v>
      </c>
      <c r="AB309" s="5" t="s">
        <v>1154</v>
      </c>
      <c r="AC309" s="56" t="s">
        <v>62</v>
      </c>
      <c r="AD309" s="59">
        <v>6.555609467</v>
      </c>
      <c r="AE309" s="59">
        <v>-73.136881500000001</v>
      </c>
      <c r="AF309" s="5" t="s">
        <v>109</v>
      </c>
      <c r="AG309" s="93" t="s">
        <v>110</v>
      </c>
    </row>
    <row r="310" spans="1:33" s="99" customFormat="1" ht="11.4" customHeight="1" x14ac:dyDescent="0.3">
      <c r="A310" s="1" t="s">
        <v>34</v>
      </c>
      <c r="B310" s="43">
        <v>304</v>
      </c>
      <c r="C310" s="191">
        <v>17080</v>
      </c>
      <c r="D310" s="19">
        <v>2026</v>
      </c>
      <c r="E310" s="44" t="s">
        <v>35</v>
      </c>
      <c r="F310" s="45" t="s">
        <v>36</v>
      </c>
      <c r="G310" s="46">
        <v>45653</v>
      </c>
      <c r="H310" s="46">
        <v>46441</v>
      </c>
      <c r="I310" s="112" t="s">
        <v>604</v>
      </c>
      <c r="J310" s="48">
        <v>85440</v>
      </c>
      <c r="K310" s="112" t="s">
        <v>296</v>
      </c>
      <c r="L310" s="112" t="s">
        <v>70</v>
      </c>
      <c r="M310" s="112" t="s">
        <v>71</v>
      </c>
      <c r="N310" s="112" t="s">
        <v>988</v>
      </c>
      <c r="O310" s="125" t="s">
        <v>42</v>
      </c>
      <c r="P310" s="49"/>
      <c r="Q310" s="2" t="s">
        <v>44</v>
      </c>
      <c r="R310" s="125" t="s">
        <v>214</v>
      </c>
      <c r="S310" s="51">
        <v>0</v>
      </c>
      <c r="T310" s="51"/>
      <c r="U310" s="113">
        <v>4317177801.7200003</v>
      </c>
      <c r="V310" s="113"/>
      <c r="W310" s="79">
        <f>PROYECTOS_DIH[[#This Row],[VALOR DESEMBOLSOS PROYECTO]]/PROYECTOS_DIH[[#This Row],[Valor Proyecto Inicial.]]</f>
        <v>1</v>
      </c>
      <c r="X310" s="54">
        <v>4317177801.7200003</v>
      </c>
      <c r="Y310" s="54" t="s">
        <v>1180</v>
      </c>
      <c r="Z310" s="92">
        <v>78180</v>
      </c>
      <c r="AA310" s="57" t="s">
        <v>954</v>
      </c>
      <c r="AB310" s="5" t="s">
        <v>1163</v>
      </c>
      <c r="AC310" s="56" t="s">
        <v>96</v>
      </c>
      <c r="AD310" s="59">
        <v>4.6097991079999998</v>
      </c>
      <c r="AE310" s="59">
        <v>-72.927468430000005</v>
      </c>
      <c r="AF310" s="5" t="s">
        <v>607</v>
      </c>
      <c r="AG310" s="120" t="s">
        <v>353</v>
      </c>
    </row>
    <row r="311" spans="1:33" s="99" customFormat="1" ht="11.4" customHeight="1" x14ac:dyDescent="0.3">
      <c r="A311" s="1" t="s">
        <v>34</v>
      </c>
      <c r="B311" s="43">
        <v>305</v>
      </c>
      <c r="C311" s="191">
        <v>17081</v>
      </c>
      <c r="D311" s="19">
        <v>2026</v>
      </c>
      <c r="E311" s="44" t="s">
        <v>35</v>
      </c>
      <c r="F311" s="45" t="s">
        <v>36</v>
      </c>
      <c r="G311" s="46">
        <v>45653</v>
      </c>
      <c r="H311" s="46">
        <v>46441</v>
      </c>
      <c r="I311" s="112" t="s">
        <v>68</v>
      </c>
      <c r="J311" s="48">
        <v>76109</v>
      </c>
      <c r="K311" s="8" t="s">
        <v>410</v>
      </c>
      <c r="L311" s="112" t="s">
        <v>70</v>
      </c>
      <c r="M311" s="112" t="s">
        <v>71</v>
      </c>
      <c r="N311" s="112" t="s">
        <v>989</v>
      </c>
      <c r="O311" s="125" t="s">
        <v>42</v>
      </c>
      <c r="P311" s="49"/>
      <c r="Q311" s="45" t="s">
        <v>44</v>
      </c>
      <c r="R311" s="125" t="s">
        <v>214</v>
      </c>
      <c r="S311" s="51">
        <v>0</v>
      </c>
      <c r="T311" s="51"/>
      <c r="U311" s="113">
        <v>4688200531.1000004</v>
      </c>
      <c r="V311" s="113"/>
      <c r="W311" s="79">
        <f>PROYECTOS_DIH[[#This Row],[VALOR DESEMBOLSOS PROYECTO]]/PROYECTOS_DIH[[#This Row],[Valor Proyecto Inicial.]]</f>
        <v>1</v>
      </c>
      <c r="X311" s="54">
        <v>4688200531.1000004</v>
      </c>
      <c r="Y311" s="54" t="s">
        <v>1180</v>
      </c>
      <c r="Z311" s="55"/>
      <c r="AA311" s="57" t="s">
        <v>954</v>
      </c>
      <c r="AB311" s="5" t="s">
        <v>1137</v>
      </c>
      <c r="AC311" s="56" t="s">
        <v>47</v>
      </c>
      <c r="AD311" s="59">
        <v>3.8758024369999999</v>
      </c>
      <c r="AE311" s="59">
        <v>-77.011740200000006</v>
      </c>
      <c r="AF311" s="5" t="s">
        <v>74</v>
      </c>
      <c r="AG311" s="77" t="s">
        <v>75</v>
      </c>
    </row>
    <row r="312" spans="1:33" s="99" customFormat="1" ht="11.4" customHeight="1" x14ac:dyDescent="0.3">
      <c r="A312" s="1" t="s">
        <v>34</v>
      </c>
      <c r="B312" s="43">
        <v>306</v>
      </c>
      <c r="C312" s="191">
        <v>17082</v>
      </c>
      <c r="D312" s="19">
        <v>2026</v>
      </c>
      <c r="E312" s="44" t="s">
        <v>35</v>
      </c>
      <c r="F312" s="45" t="s">
        <v>36</v>
      </c>
      <c r="G312" s="46">
        <v>45653</v>
      </c>
      <c r="H312" s="46">
        <v>46441</v>
      </c>
      <c r="I312" s="111" t="s">
        <v>348</v>
      </c>
      <c r="J312" s="48">
        <v>50606</v>
      </c>
      <c r="K312" s="111" t="s">
        <v>966</v>
      </c>
      <c r="L312" s="112" t="s">
        <v>70</v>
      </c>
      <c r="M312" s="111" t="s">
        <v>962</v>
      </c>
      <c r="N312" s="111" t="s">
        <v>990</v>
      </c>
      <c r="O312" s="45" t="s">
        <v>42</v>
      </c>
      <c r="P312" s="49"/>
      <c r="Q312" s="2" t="s">
        <v>44</v>
      </c>
      <c r="R312" s="2" t="s">
        <v>121</v>
      </c>
      <c r="S312" s="51">
        <v>0</v>
      </c>
      <c r="T312" s="51"/>
      <c r="U312" s="113">
        <v>1086470000</v>
      </c>
      <c r="V312" s="113"/>
      <c r="W312" s="79">
        <f>PROYECTOS_DIH[[#This Row],[VALOR DESEMBOLSOS PROYECTO]]/PROYECTOS_DIH[[#This Row],[Valor Proyecto Inicial.]]</f>
        <v>0</v>
      </c>
      <c r="X312" s="54"/>
      <c r="Y312" s="54" t="s">
        <v>1180</v>
      </c>
      <c r="Z312" s="55"/>
      <c r="AA312" s="57" t="s">
        <v>954</v>
      </c>
      <c r="AB312" s="5" t="s">
        <v>1157</v>
      </c>
      <c r="AC312" s="56" t="s">
        <v>62</v>
      </c>
      <c r="AD312" s="59">
        <v>4.2607319940000004</v>
      </c>
      <c r="AE312" s="59">
        <v>-73.564604180000003</v>
      </c>
      <c r="AF312" s="5" t="s">
        <v>352</v>
      </c>
      <c r="AG312" s="120" t="s">
        <v>353</v>
      </c>
    </row>
    <row r="313" spans="1:33" s="99" customFormat="1" ht="11.4" customHeight="1" x14ac:dyDescent="0.3">
      <c r="A313" s="1" t="s">
        <v>34</v>
      </c>
      <c r="B313" s="43">
        <v>307</v>
      </c>
      <c r="C313" s="191">
        <v>17083</v>
      </c>
      <c r="D313" s="19">
        <v>2026</v>
      </c>
      <c r="E313" s="44" t="s">
        <v>35</v>
      </c>
      <c r="F313" s="45" t="s">
        <v>36</v>
      </c>
      <c r="G313" s="46">
        <v>45653</v>
      </c>
      <c r="H313" s="46">
        <v>46441</v>
      </c>
      <c r="I313" s="111" t="s">
        <v>268</v>
      </c>
      <c r="J313" s="48">
        <v>19318</v>
      </c>
      <c r="K313" s="111" t="s">
        <v>371</v>
      </c>
      <c r="L313" s="112" t="s">
        <v>70</v>
      </c>
      <c r="M313" s="111" t="s">
        <v>71</v>
      </c>
      <c r="N313" s="111" t="s">
        <v>991</v>
      </c>
      <c r="O313" s="2" t="s">
        <v>42</v>
      </c>
      <c r="P313" s="49"/>
      <c r="Q313" s="2" t="s">
        <v>44</v>
      </c>
      <c r="R313" s="2" t="s">
        <v>214</v>
      </c>
      <c r="S313" s="51">
        <v>0</v>
      </c>
      <c r="T313" s="51"/>
      <c r="U313" s="113">
        <v>1101998116.1600001</v>
      </c>
      <c r="V313" s="113"/>
      <c r="W313" s="79">
        <f>PROYECTOS_DIH[[#This Row],[VALOR DESEMBOLSOS PROYECTO]]/PROYECTOS_DIH[[#This Row],[Valor Proyecto Inicial.]]</f>
        <v>1</v>
      </c>
      <c r="X313" s="54">
        <v>1101998116.1600001</v>
      </c>
      <c r="Y313" s="54" t="s">
        <v>1180</v>
      </c>
      <c r="Z313" s="92">
        <v>30121</v>
      </c>
      <c r="AA313" s="57" t="s">
        <v>954</v>
      </c>
      <c r="AB313" s="5" t="s">
        <v>1138</v>
      </c>
      <c r="AC313" s="56" t="s">
        <v>47</v>
      </c>
      <c r="AD313" s="59">
        <v>2.5729183660000001</v>
      </c>
      <c r="AE313" s="59">
        <v>-77.888033469999996</v>
      </c>
      <c r="AF313" s="5" t="s">
        <v>272</v>
      </c>
      <c r="AG313" s="77" t="s">
        <v>75</v>
      </c>
    </row>
    <row r="314" spans="1:33" s="99" customFormat="1" ht="11.4" customHeight="1" x14ac:dyDescent="0.3">
      <c r="A314" s="7" t="s">
        <v>114</v>
      </c>
      <c r="B314" s="43">
        <v>245</v>
      </c>
      <c r="C314" s="94">
        <v>17088</v>
      </c>
      <c r="D314" s="44">
        <v>2025</v>
      </c>
      <c r="E314" s="44" t="s">
        <v>158</v>
      </c>
      <c r="F314" s="45" t="s">
        <v>813</v>
      </c>
      <c r="G314" s="46">
        <v>45968</v>
      </c>
      <c r="H314" s="46">
        <v>46721</v>
      </c>
      <c r="I314" s="45" t="s">
        <v>160</v>
      </c>
      <c r="J314" s="98">
        <v>73547</v>
      </c>
      <c r="K314" s="45" t="s">
        <v>161</v>
      </c>
      <c r="L314" s="8" t="s">
        <v>70</v>
      </c>
      <c r="M314" s="45" t="s">
        <v>71</v>
      </c>
      <c r="N314" s="45" t="s">
        <v>814</v>
      </c>
      <c r="O314" s="45" t="s">
        <v>119</v>
      </c>
      <c r="P314" s="45"/>
      <c r="Q314" s="2" t="s">
        <v>120</v>
      </c>
      <c r="R314" s="95" t="s">
        <v>121</v>
      </c>
      <c r="S314" s="51">
        <v>0</v>
      </c>
      <c r="T314" s="51"/>
      <c r="U314" s="91">
        <v>0</v>
      </c>
      <c r="V314" s="91"/>
      <c r="W314" s="53" t="e">
        <f>PROYECTOS_DIH[[#This Row],[VALOR DESEMBOLSOS PROYECTO]]/PROYECTOS_DIH[[#This Row],[Valor Proyecto Inicial.]]</f>
        <v>#DIV/0!</v>
      </c>
      <c r="X314" s="54">
        <v>0</v>
      </c>
      <c r="Y314" s="54" t="s">
        <v>1180</v>
      </c>
      <c r="Z314" s="55"/>
      <c r="AA314" s="57" t="s">
        <v>815</v>
      </c>
      <c r="AB314" s="5" t="s">
        <v>1146</v>
      </c>
      <c r="AC314" s="56" t="s">
        <v>62</v>
      </c>
      <c r="AD314" s="59">
        <v>4.5439082859999997</v>
      </c>
      <c r="AE314" s="59">
        <v>-74.878073990000004</v>
      </c>
      <c r="AF314" s="5" t="s">
        <v>163</v>
      </c>
      <c r="AG314" s="81" t="s">
        <v>80</v>
      </c>
    </row>
    <row r="315" spans="1:33" s="99" customFormat="1" ht="11.4" customHeight="1" x14ac:dyDescent="0.3">
      <c r="A315" s="1" t="s">
        <v>34</v>
      </c>
      <c r="B315" s="43">
        <v>308</v>
      </c>
      <c r="C315" s="94">
        <v>17088</v>
      </c>
      <c r="D315" s="19">
        <v>2026</v>
      </c>
      <c r="E315" s="44" t="s">
        <v>35</v>
      </c>
      <c r="F315" s="45" t="s">
        <v>36</v>
      </c>
      <c r="G315" s="46">
        <v>45653</v>
      </c>
      <c r="H315" s="46">
        <v>46441</v>
      </c>
      <c r="I315" s="111" t="s">
        <v>160</v>
      </c>
      <c r="J315" s="98">
        <v>73547</v>
      </c>
      <c r="K315" s="111" t="s">
        <v>161</v>
      </c>
      <c r="L315" s="112" t="s">
        <v>70</v>
      </c>
      <c r="M315" s="111" t="s">
        <v>71</v>
      </c>
      <c r="N315" s="111" t="s">
        <v>814</v>
      </c>
      <c r="O315" s="45" t="s">
        <v>42</v>
      </c>
      <c r="P315" s="49"/>
      <c r="Q315" s="2" t="s">
        <v>44</v>
      </c>
      <c r="R315" s="2" t="s">
        <v>214</v>
      </c>
      <c r="S315" s="51">
        <v>0</v>
      </c>
      <c r="T315" s="51"/>
      <c r="U315" s="113">
        <v>3206700209.5599999</v>
      </c>
      <c r="V315" s="113"/>
      <c r="W315" s="79">
        <f>PROYECTOS_DIH[[#This Row],[VALOR DESEMBOLSOS PROYECTO]]/PROYECTOS_DIH[[#This Row],[Valor Proyecto Inicial.]]</f>
        <v>0</v>
      </c>
      <c r="X315" s="54">
        <v>0</v>
      </c>
      <c r="Y315" s="54" t="s">
        <v>1180</v>
      </c>
      <c r="Z315" s="55"/>
      <c r="AA315" s="57" t="s">
        <v>992</v>
      </c>
      <c r="AB315" s="5" t="s">
        <v>1146</v>
      </c>
      <c r="AC315" s="56" t="s">
        <v>62</v>
      </c>
      <c r="AD315" s="59">
        <v>4.5439082859999997</v>
      </c>
      <c r="AE315" s="59">
        <v>-74.878073990000004</v>
      </c>
      <c r="AF315" s="5" t="s">
        <v>163</v>
      </c>
      <c r="AG315" s="81" t="s">
        <v>80</v>
      </c>
    </row>
    <row r="316" spans="1:33" s="99" customFormat="1" ht="11.4" customHeight="1" x14ac:dyDescent="0.3">
      <c r="A316" s="7" t="s">
        <v>114</v>
      </c>
      <c r="B316" s="43">
        <v>282</v>
      </c>
      <c r="C316" s="94">
        <v>17089</v>
      </c>
      <c r="D316" s="44">
        <v>2025</v>
      </c>
      <c r="E316" s="44" t="s">
        <v>181</v>
      </c>
      <c r="F316" s="5" t="s">
        <v>936</v>
      </c>
      <c r="G316" s="11">
        <v>45968</v>
      </c>
      <c r="H316" s="11">
        <v>46721</v>
      </c>
      <c r="I316" s="5" t="s">
        <v>160</v>
      </c>
      <c r="J316" s="82">
        <v>73624</v>
      </c>
      <c r="K316" s="5" t="s">
        <v>248</v>
      </c>
      <c r="L316" s="8" t="s">
        <v>70</v>
      </c>
      <c r="M316" s="5" t="s">
        <v>71</v>
      </c>
      <c r="N316" s="45" t="s">
        <v>937</v>
      </c>
      <c r="O316" s="45" t="s">
        <v>119</v>
      </c>
      <c r="P316" s="45"/>
      <c r="Q316" s="2" t="s">
        <v>120</v>
      </c>
      <c r="R316" s="2" t="s">
        <v>121</v>
      </c>
      <c r="S316" s="58">
        <v>0</v>
      </c>
      <c r="T316" s="58"/>
      <c r="U316" s="91">
        <v>0</v>
      </c>
      <c r="V316" s="91"/>
      <c r="W316" s="53" t="e">
        <f>PROYECTOS_DIH[[#This Row],[VALOR DESEMBOLSOS PROYECTO]]/PROYECTOS_DIH[[#This Row],[Valor Proyecto Inicial.]]</f>
        <v>#DIV/0!</v>
      </c>
      <c r="X316" s="54">
        <v>0</v>
      </c>
      <c r="Y316" s="54" t="s">
        <v>1180</v>
      </c>
      <c r="Z316" s="92"/>
      <c r="AA316" s="57" t="s">
        <v>250</v>
      </c>
      <c r="AB316" s="5" t="s">
        <v>1146</v>
      </c>
      <c r="AC316" s="56" t="s">
        <v>96</v>
      </c>
      <c r="AD316" s="59">
        <v>4.238932685</v>
      </c>
      <c r="AE316" s="59">
        <v>-75.240868300000002</v>
      </c>
      <c r="AF316" s="5" t="s">
        <v>163</v>
      </c>
      <c r="AG316" s="81" t="s">
        <v>80</v>
      </c>
    </row>
    <row r="317" spans="1:33" s="99" customFormat="1" ht="11.4" customHeight="1" x14ac:dyDescent="0.3">
      <c r="A317" s="1" t="s">
        <v>34</v>
      </c>
      <c r="B317" s="43">
        <v>309</v>
      </c>
      <c r="C317" s="94">
        <v>17089</v>
      </c>
      <c r="D317" s="19">
        <v>2026</v>
      </c>
      <c r="E317" s="44" t="s">
        <v>35</v>
      </c>
      <c r="F317" s="45" t="s">
        <v>36</v>
      </c>
      <c r="G317" s="46">
        <v>45653</v>
      </c>
      <c r="H317" s="46">
        <v>46441</v>
      </c>
      <c r="I317" s="111" t="s">
        <v>160</v>
      </c>
      <c r="J317" s="82">
        <v>73624</v>
      </c>
      <c r="K317" s="111" t="s">
        <v>248</v>
      </c>
      <c r="L317" s="112" t="s">
        <v>70</v>
      </c>
      <c r="M317" s="111" t="s">
        <v>71</v>
      </c>
      <c r="N317" s="111" t="s">
        <v>937</v>
      </c>
      <c r="O317" s="45" t="s">
        <v>42</v>
      </c>
      <c r="P317" s="49"/>
      <c r="Q317" s="2" t="s">
        <v>44</v>
      </c>
      <c r="R317" s="2" t="s">
        <v>121</v>
      </c>
      <c r="S317" s="51">
        <v>0</v>
      </c>
      <c r="T317" s="51"/>
      <c r="U317" s="113">
        <v>3559330562.6799998</v>
      </c>
      <c r="V317" s="113"/>
      <c r="W317" s="79">
        <f>PROYECTOS_DIH[[#This Row],[VALOR DESEMBOLSOS PROYECTO]]/PROYECTOS_DIH[[#This Row],[Valor Proyecto Inicial.]]</f>
        <v>0</v>
      </c>
      <c r="X317" s="54">
        <v>0</v>
      </c>
      <c r="Y317" s="54" t="s">
        <v>1180</v>
      </c>
      <c r="Z317" s="55">
        <v>21149</v>
      </c>
      <c r="AA317" s="57" t="s">
        <v>993</v>
      </c>
      <c r="AB317" s="5" t="s">
        <v>1146</v>
      </c>
      <c r="AC317" s="56" t="s">
        <v>96</v>
      </c>
      <c r="AD317" s="59">
        <v>4.238932685</v>
      </c>
      <c r="AE317" s="59">
        <v>-75.240868300000002</v>
      </c>
      <c r="AF317" s="5" t="s">
        <v>163</v>
      </c>
      <c r="AG317" s="81" t="s">
        <v>80</v>
      </c>
    </row>
    <row r="318" spans="1:33" s="99" customFormat="1" ht="11.4" customHeight="1" x14ac:dyDescent="0.3">
      <c r="A318" s="7" t="s">
        <v>114</v>
      </c>
      <c r="B318" s="43">
        <v>296</v>
      </c>
      <c r="C318" s="94">
        <v>17090</v>
      </c>
      <c r="D318" s="44">
        <v>2025</v>
      </c>
      <c r="E318" s="44" t="s">
        <v>181</v>
      </c>
      <c r="F318" s="45" t="s">
        <v>969</v>
      </c>
      <c r="G318" s="46">
        <v>45968</v>
      </c>
      <c r="H318" s="46">
        <v>46721</v>
      </c>
      <c r="I318" s="45" t="s">
        <v>183</v>
      </c>
      <c r="J318" s="98">
        <v>95001</v>
      </c>
      <c r="K318" s="47" t="s">
        <v>184</v>
      </c>
      <c r="L318" s="112" t="s">
        <v>70</v>
      </c>
      <c r="M318" s="45" t="s">
        <v>71</v>
      </c>
      <c r="N318" s="45" t="s">
        <v>970</v>
      </c>
      <c r="O318" s="45" t="s">
        <v>119</v>
      </c>
      <c r="P318" s="45"/>
      <c r="Q318" s="2" t="s">
        <v>120</v>
      </c>
      <c r="R318" s="2" t="s">
        <v>60</v>
      </c>
      <c r="S318" s="51">
        <v>0</v>
      </c>
      <c r="T318" s="51"/>
      <c r="U318" s="100">
        <v>0</v>
      </c>
      <c r="V318" s="100"/>
      <c r="W318" s="53">
        <v>0</v>
      </c>
      <c r="X318" s="54">
        <v>0</v>
      </c>
      <c r="Y318" s="54" t="s">
        <v>1180</v>
      </c>
      <c r="Z318" s="55"/>
      <c r="AA318" s="135" t="s">
        <v>971</v>
      </c>
      <c r="AB318" s="5" t="s">
        <v>1151</v>
      </c>
      <c r="AC318" s="56" t="s">
        <v>47</v>
      </c>
      <c r="AD318" s="59">
        <v>2.5664283989999999</v>
      </c>
      <c r="AE318" s="59">
        <v>-72.638986220000007</v>
      </c>
      <c r="AF318" s="5" t="s">
        <v>187</v>
      </c>
      <c r="AG318" s="109" t="s">
        <v>188</v>
      </c>
    </row>
    <row r="319" spans="1:33" s="99" customFormat="1" ht="11.4" customHeight="1" x14ac:dyDescent="0.3">
      <c r="A319" s="7" t="s">
        <v>114</v>
      </c>
      <c r="B319" s="43">
        <v>160</v>
      </c>
      <c r="C319" s="94">
        <v>17091</v>
      </c>
      <c r="D319" s="44">
        <v>2025</v>
      </c>
      <c r="E319" s="44" t="s">
        <v>92</v>
      </c>
      <c r="F319" s="45" t="s">
        <v>565</v>
      </c>
      <c r="G319" s="46">
        <v>45968</v>
      </c>
      <c r="H319" s="46">
        <v>46721</v>
      </c>
      <c r="I319" s="47" t="s">
        <v>68</v>
      </c>
      <c r="J319" s="48">
        <v>76233</v>
      </c>
      <c r="K319" s="45" t="s">
        <v>94</v>
      </c>
      <c r="L319" s="8" t="s">
        <v>70</v>
      </c>
      <c r="M319" s="45" t="s">
        <v>71</v>
      </c>
      <c r="N319" s="45" t="s">
        <v>566</v>
      </c>
      <c r="O319" s="45" t="s">
        <v>119</v>
      </c>
      <c r="P319" s="45"/>
      <c r="Q319" s="45" t="s">
        <v>120</v>
      </c>
      <c r="R319" s="95" t="s">
        <v>121</v>
      </c>
      <c r="S319" s="51">
        <v>0</v>
      </c>
      <c r="T319" s="51"/>
      <c r="U319" s="91">
        <v>0</v>
      </c>
      <c r="V319" s="91"/>
      <c r="W319" s="53" t="e">
        <f>PROYECTOS_DIH[[#This Row],[VALOR DESEMBOLSOS PROYECTO]]/PROYECTOS_DIH[[#This Row],[Valor Proyecto Inicial.]]</f>
        <v>#DIV/0!</v>
      </c>
      <c r="X319" s="54">
        <v>0</v>
      </c>
      <c r="Y319" s="54" t="s">
        <v>1180</v>
      </c>
      <c r="Z319" s="55"/>
      <c r="AA319" s="57" t="s">
        <v>567</v>
      </c>
      <c r="AB319" s="5" t="s">
        <v>1137</v>
      </c>
      <c r="AC319" s="56" t="s">
        <v>96</v>
      </c>
      <c r="AD319" s="59">
        <v>3.6573084850000002</v>
      </c>
      <c r="AE319" s="59">
        <v>-76.68887101</v>
      </c>
      <c r="AF319" s="5" t="s">
        <v>74</v>
      </c>
      <c r="AG319" s="77" t="s">
        <v>75</v>
      </c>
    </row>
    <row r="320" spans="1:33" s="99" customFormat="1" ht="11.4" customHeight="1" x14ac:dyDescent="0.3">
      <c r="A320" s="1" t="s">
        <v>34</v>
      </c>
      <c r="B320" s="43">
        <v>310</v>
      </c>
      <c r="C320" s="94">
        <v>17091</v>
      </c>
      <c r="D320" s="19">
        <v>2026</v>
      </c>
      <c r="E320" s="44" t="s">
        <v>35</v>
      </c>
      <c r="F320" s="45" t="s">
        <v>36</v>
      </c>
      <c r="G320" s="46">
        <v>45653</v>
      </c>
      <c r="H320" s="46">
        <v>46441</v>
      </c>
      <c r="I320" s="111" t="s">
        <v>68</v>
      </c>
      <c r="J320" s="48">
        <v>76233</v>
      </c>
      <c r="K320" s="111" t="s">
        <v>94</v>
      </c>
      <c r="L320" s="112" t="s">
        <v>70</v>
      </c>
      <c r="M320" s="111" t="s">
        <v>71</v>
      </c>
      <c r="N320" s="111" t="s">
        <v>566</v>
      </c>
      <c r="O320" s="2" t="s">
        <v>42</v>
      </c>
      <c r="P320" s="49"/>
      <c r="Q320" s="2" t="s">
        <v>44</v>
      </c>
      <c r="R320" s="2" t="s">
        <v>214</v>
      </c>
      <c r="S320" s="51">
        <v>0</v>
      </c>
      <c r="T320" s="51"/>
      <c r="U320" s="113">
        <v>4800163251.3900003</v>
      </c>
      <c r="V320" s="113"/>
      <c r="W320" s="79">
        <f>PROYECTOS_DIH[[#This Row],[VALOR DESEMBOLSOS PROYECTO]]/PROYECTOS_DIH[[#This Row],[Valor Proyecto Inicial.]]</f>
        <v>0</v>
      </c>
      <c r="X320" s="54"/>
      <c r="Y320" s="54" t="s">
        <v>1180</v>
      </c>
      <c r="Z320" s="55"/>
      <c r="AA320" s="57" t="s">
        <v>994</v>
      </c>
      <c r="AB320" s="5" t="s">
        <v>1137</v>
      </c>
      <c r="AC320" s="56" t="s">
        <v>96</v>
      </c>
      <c r="AD320" s="59">
        <v>3.6573084850000002</v>
      </c>
      <c r="AE320" s="59">
        <v>-76.68887101</v>
      </c>
      <c r="AF320" s="5" t="s">
        <v>74</v>
      </c>
      <c r="AG320" s="77" t="s">
        <v>75</v>
      </c>
    </row>
    <row r="321" spans="1:33" s="99" customFormat="1" ht="11.4" customHeight="1" x14ac:dyDescent="0.3">
      <c r="A321" s="7" t="s">
        <v>114</v>
      </c>
      <c r="B321" s="43">
        <v>125</v>
      </c>
      <c r="C321" s="94">
        <v>17092</v>
      </c>
      <c r="D321" s="44">
        <v>2025</v>
      </c>
      <c r="E321" s="44" t="s">
        <v>92</v>
      </c>
      <c r="F321" s="5" t="s">
        <v>497</v>
      </c>
      <c r="G321" s="11">
        <v>45968</v>
      </c>
      <c r="H321" s="11">
        <v>46721</v>
      </c>
      <c r="I321" s="47" t="s">
        <v>68</v>
      </c>
      <c r="J321" s="48">
        <v>76147</v>
      </c>
      <c r="K321" s="5" t="s">
        <v>254</v>
      </c>
      <c r="L321" s="8" t="s">
        <v>70</v>
      </c>
      <c r="M321" s="5" t="s">
        <v>71</v>
      </c>
      <c r="N321" s="45" t="s">
        <v>498</v>
      </c>
      <c r="O321" s="45" t="s">
        <v>119</v>
      </c>
      <c r="P321" s="45"/>
      <c r="Q321" s="134" t="s">
        <v>120</v>
      </c>
      <c r="R321" s="95" t="s">
        <v>120</v>
      </c>
      <c r="S321" s="58">
        <v>0</v>
      </c>
      <c r="T321" s="58"/>
      <c r="U321" s="100">
        <v>0</v>
      </c>
      <c r="V321" s="100"/>
      <c r="W321" s="53" t="e">
        <f>PROYECTOS_DIH[[#This Row],[VALOR DESEMBOLSOS PROYECTO]]/PROYECTOS_DIH[[#This Row],[Valor Proyecto Inicial.]]</f>
        <v>#DIV/0!</v>
      </c>
      <c r="X321" s="54">
        <v>0</v>
      </c>
      <c r="Y321" s="54" t="s">
        <v>1180</v>
      </c>
      <c r="Z321" s="92"/>
      <c r="AA321" s="135" t="s">
        <v>499</v>
      </c>
      <c r="AB321" s="5" t="s">
        <v>1137</v>
      </c>
      <c r="AC321" s="56" t="s">
        <v>62</v>
      </c>
      <c r="AD321" s="59">
        <v>4.758755098</v>
      </c>
      <c r="AE321" s="59">
        <v>-75.942264039999998</v>
      </c>
      <c r="AF321" s="5" t="s">
        <v>74</v>
      </c>
      <c r="AG321" s="77" t="s">
        <v>75</v>
      </c>
    </row>
    <row r="322" spans="1:33" s="99" customFormat="1" ht="11.4" customHeight="1" x14ac:dyDescent="0.3">
      <c r="A322" s="7" t="s">
        <v>114</v>
      </c>
      <c r="B322" s="43">
        <v>151</v>
      </c>
      <c r="C322" s="94">
        <v>17093</v>
      </c>
      <c r="D322" s="44">
        <v>2025</v>
      </c>
      <c r="E322" s="44" t="s">
        <v>92</v>
      </c>
      <c r="F322" s="5" t="s">
        <v>546</v>
      </c>
      <c r="G322" s="11">
        <v>45968</v>
      </c>
      <c r="H322" s="11">
        <v>46721</v>
      </c>
      <c r="I322" s="47" t="s">
        <v>268</v>
      </c>
      <c r="J322" s="48">
        <v>19212</v>
      </c>
      <c r="K322" s="5" t="s">
        <v>269</v>
      </c>
      <c r="L322" s="8" t="s">
        <v>70</v>
      </c>
      <c r="M322" s="5" t="s">
        <v>71</v>
      </c>
      <c r="N322" s="45" t="s">
        <v>547</v>
      </c>
      <c r="O322" s="45" t="s">
        <v>119</v>
      </c>
      <c r="P322" s="45"/>
      <c r="Q322" s="134" t="s">
        <v>120</v>
      </c>
      <c r="R322" s="95" t="s">
        <v>120</v>
      </c>
      <c r="S322" s="58">
        <v>0</v>
      </c>
      <c r="T322" s="58"/>
      <c r="U322" s="100">
        <v>0</v>
      </c>
      <c r="V322" s="100"/>
      <c r="W322" s="53" t="e">
        <f>PROYECTOS_DIH[[#This Row],[VALOR DESEMBOLSOS PROYECTO]]/PROYECTOS_DIH[[#This Row],[Valor Proyecto Inicial.]]</f>
        <v>#DIV/0!</v>
      </c>
      <c r="X322" s="54">
        <v>0</v>
      </c>
      <c r="Y322" s="54" t="s">
        <v>1180</v>
      </c>
      <c r="Z322" s="92"/>
      <c r="AA322" s="135" t="s">
        <v>499</v>
      </c>
      <c r="AB322" s="5" t="s">
        <v>1138</v>
      </c>
      <c r="AC322" s="56" t="s">
        <v>47</v>
      </c>
      <c r="AD322" s="59">
        <v>3.1738154569999999</v>
      </c>
      <c r="AE322" s="59">
        <v>-76.261314189999993</v>
      </c>
      <c r="AF322" s="5" t="s">
        <v>272</v>
      </c>
      <c r="AG322" s="77" t="s">
        <v>75</v>
      </c>
    </row>
    <row r="323" spans="1:33" s="99" customFormat="1" ht="11.4" customHeight="1" x14ac:dyDescent="0.3">
      <c r="A323" s="7" t="s">
        <v>114</v>
      </c>
      <c r="B323" s="43">
        <v>9</v>
      </c>
      <c r="C323" s="94">
        <v>17094</v>
      </c>
      <c r="D323" s="44">
        <v>2025</v>
      </c>
      <c r="E323" s="44" t="s">
        <v>115</v>
      </c>
      <c r="F323" s="5" t="s">
        <v>116</v>
      </c>
      <c r="G323" s="11">
        <v>45968</v>
      </c>
      <c r="H323" s="11">
        <v>46721</v>
      </c>
      <c r="I323" s="5" t="s">
        <v>68</v>
      </c>
      <c r="J323" s="82">
        <v>76020</v>
      </c>
      <c r="K323" s="5" t="s">
        <v>117</v>
      </c>
      <c r="L323" s="8" t="s">
        <v>70</v>
      </c>
      <c r="M323" s="5" t="s">
        <v>71</v>
      </c>
      <c r="N323" s="45" t="s">
        <v>118</v>
      </c>
      <c r="O323" s="45" t="s">
        <v>119</v>
      </c>
      <c r="P323" s="45"/>
      <c r="Q323" s="45" t="s">
        <v>120</v>
      </c>
      <c r="R323" s="95" t="s">
        <v>121</v>
      </c>
      <c r="S323" s="58">
        <v>0</v>
      </c>
      <c r="T323" s="58"/>
      <c r="U323" s="91">
        <v>0</v>
      </c>
      <c r="V323" s="91"/>
      <c r="W323" s="53" t="e">
        <f>PROYECTOS_DIH[[#This Row],[VALOR DESEMBOLSOS PROYECTO]]/PROYECTOS_DIH[[#This Row],[Valor Proyecto Inicial.]]</f>
        <v>#DIV/0!</v>
      </c>
      <c r="X323" s="54">
        <v>0</v>
      </c>
      <c r="Y323" s="54" t="s">
        <v>1180</v>
      </c>
      <c r="Z323" s="92"/>
      <c r="AA323" s="57" t="s">
        <v>122</v>
      </c>
      <c r="AB323" s="5" t="s">
        <v>1137</v>
      </c>
      <c r="AC323" s="56" t="s">
        <v>62</v>
      </c>
      <c r="AD323" s="59">
        <v>4.6749895419999996</v>
      </c>
      <c r="AE323" s="59">
        <v>-75.779813869999998</v>
      </c>
      <c r="AF323" s="5" t="s">
        <v>74</v>
      </c>
      <c r="AG323" s="77" t="s">
        <v>75</v>
      </c>
    </row>
    <row r="324" spans="1:33" s="99" customFormat="1" ht="11.4" customHeight="1" x14ac:dyDescent="0.3">
      <c r="A324" s="1" t="s">
        <v>34</v>
      </c>
      <c r="B324" s="43">
        <v>311</v>
      </c>
      <c r="C324" s="154">
        <v>17094</v>
      </c>
      <c r="D324" s="19">
        <v>2026</v>
      </c>
      <c r="E324" s="44" t="s">
        <v>35</v>
      </c>
      <c r="F324" s="45" t="s">
        <v>36</v>
      </c>
      <c r="G324" s="46">
        <v>45653</v>
      </c>
      <c r="H324" s="46">
        <v>46441</v>
      </c>
      <c r="I324" s="112" t="s">
        <v>68</v>
      </c>
      <c r="J324" s="82">
        <v>76020</v>
      </c>
      <c r="K324" s="112" t="s">
        <v>117</v>
      </c>
      <c r="L324" s="112" t="s">
        <v>70</v>
      </c>
      <c r="M324" s="112" t="s">
        <v>71</v>
      </c>
      <c r="N324" s="112" t="s">
        <v>118</v>
      </c>
      <c r="O324" s="125" t="s">
        <v>42</v>
      </c>
      <c r="P324" s="49"/>
      <c r="Q324" s="45" t="s">
        <v>44</v>
      </c>
      <c r="R324" s="95" t="s">
        <v>121</v>
      </c>
      <c r="S324" s="51">
        <v>0</v>
      </c>
      <c r="T324" s="51"/>
      <c r="U324" s="113">
        <v>2866610192.04</v>
      </c>
      <c r="V324" s="113"/>
      <c r="W324" s="79">
        <f>PROYECTOS_DIH[[#This Row],[VALOR DESEMBOLSOS PROYECTO]]/PROYECTOS_DIH[[#This Row],[Valor Proyecto Inicial.]]</f>
        <v>0</v>
      </c>
      <c r="X324" s="54"/>
      <c r="Y324" s="54" t="s">
        <v>1180</v>
      </c>
      <c r="Z324" s="55"/>
      <c r="AA324" s="57" t="s">
        <v>995</v>
      </c>
      <c r="AB324" s="5" t="s">
        <v>1137</v>
      </c>
      <c r="AC324" s="56" t="s">
        <v>62</v>
      </c>
      <c r="AD324" s="59">
        <v>4.6749895419999996</v>
      </c>
      <c r="AE324" s="59">
        <v>-75.779813869999998</v>
      </c>
      <c r="AF324" s="5" t="s">
        <v>74</v>
      </c>
      <c r="AG324" s="77" t="s">
        <v>75</v>
      </c>
    </row>
    <row r="325" spans="1:33" s="99" customFormat="1" ht="11.4" customHeight="1" x14ac:dyDescent="0.3">
      <c r="A325" s="7" t="s">
        <v>114</v>
      </c>
      <c r="B325" s="43">
        <v>278</v>
      </c>
      <c r="C325" s="94">
        <v>17095</v>
      </c>
      <c r="D325" s="44">
        <v>2025</v>
      </c>
      <c r="E325" s="44" t="s">
        <v>86</v>
      </c>
      <c r="F325" s="45" t="s">
        <v>921</v>
      </c>
      <c r="G325" s="46">
        <v>45968</v>
      </c>
      <c r="H325" s="46">
        <v>46721</v>
      </c>
      <c r="I325" s="45" t="s">
        <v>88</v>
      </c>
      <c r="J325" s="98">
        <v>52621</v>
      </c>
      <c r="K325" s="45" t="s">
        <v>240</v>
      </c>
      <c r="L325" s="8" t="s">
        <v>70</v>
      </c>
      <c r="M325" s="45" t="s">
        <v>71</v>
      </c>
      <c r="N325" s="45" t="s">
        <v>922</v>
      </c>
      <c r="O325" s="45" t="s">
        <v>119</v>
      </c>
      <c r="P325" s="45"/>
      <c r="Q325" s="2" t="s">
        <v>120</v>
      </c>
      <c r="R325" s="95" t="s">
        <v>121</v>
      </c>
      <c r="S325" s="51">
        <v>0</v>
      </c>
      <c r="T325" s="51"/>
      <c r="U325" s="91">
        <v>0</v>
      </c>
      <c r="V325" s="91"/>
      <c r="W325" s="53" t="e">
        <f>PROYECTOS_DIH[[#This Row],[VALOR DESEMBOLSOS PROYECTO]]/PROYECTOS_DIH[[#This Row],[Valor Proyecto Inicial.]]</f>
        <v>#DIV/0!</v>
      </c>
      <c r="X325" s="54">
        <v>0</v>
      </c>
      <c r="Y325" s="54" t="s">
        <v>1180</v>
      </c>
      <c r="Z325" s="55"/>
      <c r="AA325" s="57" t="s">
        <v>923</v>
      </c>
      <c r="AB325" s="5" t="s">
        <v>1145</v>
      </c>
      <c r="AC325" s="56" t="s">
        <v>47</v>
      </c>
      <c r="AD325" s="59">
        <v>1.697744768</v>
      </c>
      <c r="AE325" s="59">
        <v>-78.245662519999996</v>
      </c>
      <c r="AF325" s="5" t="s">
        <v>91</v>
      </c>
      <c r="AG325" s="77" t="s">
        <v>75</v>
      </c>
    </row>
    <row r="326" spans="1:33" s="99" customFormat="1" ht="11.4" customHeight="1" x14ac:dyDescent="0.3">
      <c r="A326" s="1" t="s">
        <v>34</v>
      </c>
      <c r="B326" s="43">
        <v>312</v>
      </c>
      <c r="C326" s="94">
        <v>17095</v>
      </c>
      <c r="D326" s="19">
        <v>2026</v>
      </c>
      <c r="E326" s="44" t="s">
        <v>35</v>
      </c>
      <c r="F326" s="45" t="s">
        <v>36</v>
      </c>
      <c r="G326" s="46">
        <v>45653</v>
      </c>
      <c r="H326" s="46">
        <v>46441</v>
      </c>
      <c r="I326" s="112" t="s">
        <v>88</v>
      </c>
      <c r="J326" s="98">
        <v>52621</v>
      </c>
      <c r="K326" s="112" t="s">
        <v>240</v>
      </c>
      <c r="L326" s="112" t="s">
        <v>70</v>
      </c>
      <c r="M326" s="112" t="s">
        <v>71</v>
      </c>
      <c r="N326" s="112" t="s">
        <v>922</v>
      </c>
      <c r="O326" s="45" t="s">
        <v>42</v>
      </c>
      <c r="P326" s="49"/>
      <c r="Q326" s="2" t="s">
        <v>44</v>
      </c>
      <c r="R326" s="2" t="s">
        <v>121</v>
      </c>
      <c r="S326" s="51">
        <v>0</v>
      </c>
      <c r="T326" s="51"/>
      <c r="U326" s="113">
        <v>1418470289.02</v>
      </c>
      <c r="V326" s="113"/>
      <c r="W326" s="79">
        <f>PROYECTOS_DIH[[#This Row],[VALOR DESEMBOLSOS PROYECTO]]/PROYECTOS_DIH[[#This Row],[Valor Proyecto Inicial.]]</f>
        <v>0</v>
      </c>
      <c r="X326" s="54">
        <v>0</v>
      </c>
      <c r="Y326" s="54" t="s">
        <v>1180</v>
      </c>
      <c r="Z326" s="55"/>
      <c r="AA326" s="57" t="s">
        <v>996</v>
      </c>
      <c r="AB326" s="5" t="s">
        <v>1145</v>
      </c>
      <c r="AC326" s="56" t="s">
        <v>47</v>
      </c>
      <c r="AD326" s="59">
        <v>1.697744768</v>
      </c>
      <c r="AE326" s="59">
        <v>-78.245662519999996</v>
      </c>
      <c r="AF326" s="5" t="s">
        <v>91</v>
      </c>
      <c r="AG326" s="77" t="s">
        <v>75</v>
      </c>
    </row>
    <row r="327" spans="1:33" s="99" customFormat="1" ht="11.4" customHeight="1" x14ac:dyDescent="0.3">
      <c r="A327" s="7" t="s">
        <v>114</v>
      </c>
      <c r="B327" s="43">
        <v>302</v>
      </c>
      <c r="C327" s="94">
        <v>17096</v>
      </c>
      <c r="D327" s="44">
        <v>2025</v>
      </c>
      <c r="E327" s="44" t="s">
        <v>86</v>
      </c>
      <c r="F327" s="5" t="s">
        <v>983</v>
      </c>
      <c r="G327" s="11">
        <v>45968</v>
      </c>
      <c r="H327" s="11">
        <v>46721</v>
      </c>
      <c r="I327" s="5" t="s">
        <v>88</v>
      </c>
      <c r="J327" s="82">
        <v>52687</v>
      </c>
      <c r="K327" s="5" t="s">
        <v>89</v>
      </c>
      <c r="L327" s="8" t="s">
        <v>70</v>
      </c>
      <c r="M327" s="5" t="s">
        <v>71</v>
      </c>
      <c r="N327" s="45" t="s">
        <v>984</v>
      </c>
      <c r="O327" s="45" t="s">
        <v>119</v>
      </c>
      <c r="P327" s="45"/>
      <c r="Q327" s="2" t="s">
        <v>120</v>
      </c>
      <c r="R327" s="2" t="s">
        <v>121</v>
      </c>
      <c r="S327" s="58">
        <v>0</v>
      </c>
      <c r="T327" s="58"/>
      <c r="U327" s="91">
        <v>0</v>
      </c>
      <c r="V327" s="91"/>
      <c r="W327" s="53" t="e">
        <f>PROYECTOS_DIH[[#This Row],[VALOR DESEMBOLSOS PROYECTO]]/PROYECTOS_DIH[[#This Row],[Valor Proyecto Inicial.]]</f>
        <v>#DIV/0!</v>
      </c>
      <c r="X327" s="54">
        <v>0</v>
      </c>
      <c r="Y327" s="54" t="s">
        <v>1180</v>
      </c>
      <c r="Z327" s="92"/>
      <c r="AA327" s="57" t="s">
        <v>985</v>
      </c>
      <c r="AB327" s="5" t="s">
        <v>1145</v>
      </c>
      <c r="AC327" s="56" t="s">
        <v>62</v>
      </c>
      <c r="AD327" s="59">
        <v>1.5033409870000001</v>
      </c>
      <c r="AE327" s="59">
        <v>-77.215231650000007</v>
      </c>
      <c r="AF327" s="5" t="s">
        <v>91</v>
      </c>
      <c r="AG327" s="77" t="s">
        <v>75</v>
      </c>
    </row>
    <row r="328" spans="1:33" s="99" customFormat="1" ht="11.4" customHeight="1" x14ac:dyDescent="0.3">
      <c r="A328" s="1" t="s">
        <v>34</v>
      </c>
      <c r="B328" s="43">
        <v>313</v>
      </c>
      <c r="C328" s="94">
        <v>17096</v>
      </c>
      <c r="D328" s="19">
        <v>2026</v>
      </c>
      <c r="E328" s="44" t="s">
        <v>35</v>
      </c>
      <c r="F328" s="45" t="s">
        <v>36</v>
      </c>
      <c r="G328" s="46">
        <v>45653</v>
      </c>
      <c r="H328" s="46">
        <v>46441</v>
      </c>
      <c r="I328" s="111" t="s">
        <v>88</v>
      </c>
      <c r="J328" s="82">
        <v>52687</v>
      </c>
      <c r="K328" s="111" t="s">
        <v>89</v>
      </c>
      <c r="L328" s="112" t="s">
        <v>70</v>
      </c>
      <c r="M328" s="111" t="s">
        <v>71</v>
      </c>
      <c r="N328" s="111" t="s">
        <v>984</v>
      </c>
      <c r="O328" s="45" t="s">
        <v>42</v>
      </c>
      <c r="P328" s="49"/>
      <c r="Q328" s="2" t="s">
        <v>44</v>
      </c>
      <c r="R328" s="2" t="s">
        <v>121</v>
      </c>
      <c r="S328" s="51">
        <v>0</v>
      </c>
      <c r="T328" s="51"/>
      <c r="U328" s="113">
        <v>4569991590.04</v>
      </c>
      <c r="V328" s="113"/>
      <c r="W328" s="79">
        <f>PROYECTOS_DIH[[#This Row],[VALOR DESEMBOLSOS PROYECTO]]/PROYECTOS_DIH[[#This Row],[Valor Proyecto Inicial.]]</f>
        <v>0</v>
      </c>
      <c r="X328" s="54"/>
      <c r="Y328" s="54" t="s">
        <v>1180</v>
      </c>
      <c r="Z328" s="55"/>
      <c r="AA328" s="57" t="s">
        <v>997</v>
      </c>
      <c r="AB328" s="5" t="s">
        <v>1145</v>
      </c>
      <c r="AC328" s="56" t="s">
        <v>62</v>
      </c>
      <c r="AD328" s="59">
        <v>1.5033409870000001</v>
      </c>
      <c r="AE328" s="59">
        <v>-77.215231650000007</v>
      </c>
      <c r="AF328" s="5" t="s">
        <v>91</v>
      </c>
      <c r="AG328" s="77" t="s">
        <v>75</v>
      </c>
    </row>
    <row r="329" spans="1:33" s="99" customFormat="1" ht="11.4" customHeight="1" x14ac:dyDescent="0.3">
      <c r="A329" s="1" t="s">
        <v>34</v>
      </c>
      <c r="B329" s="43">
        <v>314</v>
      </c>
      <c r="C329" s="94">
        <v>17097</v>
      </c>
      <c r="D329" s="19">
        <v>2026</v>
      </c>
      <c r="E329" s="44" t="s">
        <v>35</v>
      </c>
      <c r="F329" s="45" t="s">
        <v>36</v>
      </c>
      <c r="G329" s="46">
        <v>45653</v>
      </c>
      <c r="H329" s="46">
        <v>46441</v>
      </c>
      <c r="I329" s="111" t="s">
        <v>153</v>
      </c>
      <c r="J329" s="98">
        <v>15753</v>
      </c>
      <c r="K329" s="111" t="s">
        <v>154</v>
      </c>
      <c r="L329" s="112" t="s">
        <v>70</v>
      </c>
      <c r="M329" s="111" t="s">
        <v>71</v>
      </c>
      <c r="N329" s="111" t="s">
        <v>998</v>
      </c>
      <c r="O329" s="45" t="s">
        <v>42</v>
      </c>
      <c r="P329" s="49"/>
      <c r="Q329" s="2" t="s">
        <v>44</v>
      </c>
      <c r="R329" s="2" t="s">
        <v>214</v>
      </c>
      <c r="S329" s="51">
        <v>0</v>
      </c>
      <c r="T329" s="51"/>
      <c r="U329" s="113">
        <v>3212043929.8000002</v>
      </c>
      <c r="V329" s="113"/>
      <c r="W329" s="79">
        <f>PROYECTOS_DIH[[#This Row],[VALOR DESEMBOLSOS PROYECTO]]/PROYECTOS_DIH[[#This Row],[Valor Proyecto Inicial.]]</f>
        <v>0</v>
      </c>
      <c r="X329" s="54">
        <v>0</v>
      </c>
      <c r="Y329" s="54" t="s">
        <v>1180</v>
      </c>
      <c r="Z329" s="55"/>
      <c r="AA329" s="57" t="s">
        <v>999</v>
      </c>
      <c r="AB329" s="5" t="s">
        <v>1160</v>
      </c>
      <c r="AC329" s="56" t="s">
        <v>62</v>
      </c>
      <c r="AD329" s="59">
        <v>6.3319119370000001</v>
      </c>
      <c r="AE329" s="59">
        <v>-72.684024980000004</v>
      </c>
      <c r="AF329" s="5" t="s">
        <v>157</v>
      </c>
      <c r="AG329" s="103" t="s">
        <v>110</v>
      </c>
    </row>
    <row r="330" spans="1:33" s="99" customFormat="1" ht="11.4" customHeight="1" x14ac:dyDescent="0.3">
      <c r="A330" s="7" t="s">
        <v>114</v>
      </c>
      <c r="B330" s="43">
        <v>326</v>
      </c>
      <c r="C330" s="94">
        <v>17097</v>
      </c>
      <c r="D330" s="44">
        <v>2025</v>
      </c>
      <c r="E330" s="44" t="s">
        <v>151</v>
      </c>
      <c r="F330" s="45" t="s">
        <v>1025</v>
      </c>
      <c r="G330" s="46">
        <v>45968</v>
      </c>
      <c r="H330" s="46">
        <v>46721</v>
      </c>
      <c r="I330" s="45" t="s">
        <v>153</v>
      </c>
      <c r="J330" s="98">
        <v>15753</v>
      </c>
      <c r="K330" s="45" t="s">
        <v>154</v>
      </c>
      <c r="L330" s="8" t="s">
        <v>70</v>
      </c>
      <c r="M330" s="45" t="s">
        <v>71</v>
      </c>
      <c r="N330" s="45" t="s">
        <v>998</v>
      </c>
      <c r="O330" s="45" t="s">
        <v>119</v>
      </c>
      <c r="P330" s="45"/>
      <c r="Q330" s="2" t="s">
        <v>120</v>
      </c>
      <c r="R330" s="95" t="s">
        <v>121</v>
      </c>
      <c r="S330" s="51">
        <v>0</v>
      </c>
      <c r="T330" s="51"/>
      <c r="U330" s="91">
        <v>0</v>
      </c>
      <c r="V330" s="91"/>
      <c r="W330" s="53" t="e">
        <f>PROYECTOS_DIH[[#This Row],[VALOR DESEMBOLSOS PROYECTO]]/PROYECTOS_DIH[[#This Row],[Valor Proyecto Inicial.]]</f>
        <v>#DIV/0!</v>
      </c>
      <c r="X330" s="54">
        <v>0</v>
      </c>
      <c r="Y330" s="54" t="s">
        <v>1180</v>
      </c>
      <c r="Z330" s="55"/>
      <c r="AA330" s="57" t="s">
        <v>1026</v>
      </c>
      <c r="AB330" s="5" t="s">
        <v>1160</v>
      </c>
      <c r="AC330" s="56" t="s">
        <v>62</v>
      </c>
      <c r="AD330" s="59">
        <v>6.3319119370000001</v>
      </c>
      <c r="AE330" s="59">
        <v>-72.684024980000004</v>
      </c>
      <c r="AF330" s="5" t="s">
        <v>157</v>
      </c>
      <c r="AG330" s="103" t="s">
        <v>110</v>
      </c>
    </row>
    <row r="331" spans="1:33" s="99" customFormat="1" ht="11.4" customHeight="1" x14ac:dyDescent="0.3">
      <c r="A331" s="7" t="s">
        <v>114</v>
      </c>
      <c r="B331" s="43">
        <v>139</v>
      </c>
      <c r="C331" s="94">
        <v>17098</v>
      </c>
      <c r="D331" s="44">
        <v>2025</v>
      </c>
      <c r="E331" s="44" t="s">
        <v>206</v>
      </c>
      <c r="F331" s="5" t="s">
        <v>525</v>
      </c>
      <c r="G331" s="11">
        <v>45968</v>
      </c>
      <c r="H331" s="11">
        <v>46721</v>
      </c>
      <c r="I331" s="5" t="s">
        <v>153</v>
      </c>
      <c r="J331" s="82">
        <v>15180</v>
      </c>
      <c r="K331" s="5" t="s">
        <v>208</v>
      </c>
      <c r="L331" s="8" t="s">
        <v>70</v>
      </c>
      <c r="M331" s="5" t="s">
        <v>71</v>
      </c>
      <c r="N331" s="45" t="s">
        <v>526</v>
      </c>
      <c r="O331" s="45" t="s">
        <v>119</v>
      </c>
      <c r="P331" s="45"/>
      <c r="Q331" s="45" t="s">
        <v>120</v>
      </c>
      <c r="R331" s="95" t="s">
        <v>121</v>
      </c>
      <c r="S331" s="58">
        <v>0</v>
      </c>
      <c r="T331" s="58"/>
      <c r="U331" s="91">
        <v>0</v>
      </c>
      <c r="V331" s="91"/>
      <c r="W331" s="53" t="e">
        <f>PROYECTOS_DIH[[#This Row],[VALOR DESEMBOLSOS PROYECTO]]/PROYECTOS_DIH[[#This Row],[Valor Proyecto Inicial.]]</f>
        <v>#DIV/0!</v>
      </c>
      <c r="X331" s="54">
        <v>0</v>
      </c>
      <c r="Y331" s="54" t="s">
        <v>1180</v>
      </c>
      <c r="Z331" s="92"/>
      <c r="AA331" s="57" t="s">
        <v>527</v>
      </c>
      <c r="AB331" s="5" t="s">
        <v>1160</v>
      </c>
      <c r="AC331" s="56" t="s">
        <v>62</v>
      </c>
      <c r="AD331" s="59">
        <v>6.554050428</v>
      </c>
      <c r="AE331" s="59">
        <v>-72.501835069999998</v>
      </c>
      <c r="AF331" s="5" t="s">
        <v>157</v>
      </c>
      <c r="AG331" s="103" t="s">
        <v>110</v>
      </c>
    </row>
    <row r="332" spans="1:33" s="99" customFormat="1" ht="11.4" customHeight="1" x14ac:dyDescent="0.3">
      <c r="A332" s="1" t="s">
        <v>34</v>
      </c>
      <c r="B332" s="43">
        <v>315</v>
      </c>
      <c r="C332" s="94">
        <v>17098</v>
      </c>
      <c r="D332" s="19">
        <v>2026</v>
      </c>
      <c r="E332" s="44" t="s">
        <v>35</v>
      </c>
      <c r="F332" s="45" t="s">
        <v>36</v>
      </c>
      <c r="G332" s="46">
        <v>45653</v>
      </c>
      <c r="H332" s="46">
        <v>46441</v>
      </c>
      <c r="I332" s="112" t="s">
        <v>153</v>
      </c>
      <c r="J332" s="82">
        <v>15180</v>
      </c>
      <c r="K332" s="112" t="s">
        <v>208</v>
      </c>
      <c r="L332" s="112" t="s">
        <v>70</v>
      </c>
      <c r="M332" s="112" t="s">
        <v>71</v>
      </c>
      <c r="N332" s="112" t="s">
        <v>526</v>
      </c>
      <c r="O332" s="125" t="s">
        <v>42</v>
      </c>
      <c r="P332" s="49"/>
      <c r="Q332" s="125" t="s">
        <v>44</v>
      </c>
      <c r="R332" s="125" t="s">
        <v>214</v>
      </c>
      <c r="S332" s="51">
        <v>0</v>
      </c>
      <c r="T332" s="51"/>
      <c r="U332" s="113">
        <v>2383644336.8800001</v>
      </c>
      <c r="V332" s="113"/>
      <c r="W332" s="79">
        <f>PROYECTOS_DIH[[#This Row],[VALOR DESEMBOLSOS PROYECTO]]/PROYECTOS_DIH[[#This Row],[Valor Proyecto Inicial.]]</f>
        <v>0</v>
      </c>
      <c r="X332" s="54"/>
      <c r="Y332" s="54" t="s">
        <v>1180</v>
      </c>
      <c r="Z332" s="55"/>
      <c r="AA332" s="57" t="s">
        <v>1000</v>
      </c>
      <c r="AB332" s="5" t="s">
        <v>1160</v>
      </c>
      <c r="AC332" s="56" t="s">
        <v>62</v>
      </c>
      <c r="AD332" s="59">
        <v>6.554050428</v>
      </c>
      <c r="AE332" s="59">
        <v>-72.501835069999998</v>
      </c>
      <c r="AF332" s="5" t="s">
        <v>157</v>
      </c>
      <c r="AG332" s="103" t="s">
        <v>110</v>
      </c>
    </row>
    <row r="333" spans="1:33" s="99" customFormat="1" ht="11.4" customHeight="1" x14ac:dyDescent="0.3">
      <c r="A333" s="7" t="s">
        <v>114</v>
      </c>
      <c r="B333" s="43">
        <v>102</v>
      </c>
      <c r="C333" s="94">
        <v>17099</v>
      </c>
      <c r="D333" s="44">
        <v>2025</v>
      </c>
      <c r="E333" s="44" t="s">
        <v>289</v>
      </c>
      <c r="F333" s="5" t="s">
        <v>453</v>
      </c>
      <c r="G333" s="11">
        <v>45968</v>
      </c>
      <c r="H333" s="11">
        <v>46721</v>
      </c>
      <c r="I333" s="47" t="s">
        <v>68</v>
      </c>
      <c r="J333" s="48">
        <v>76126</v>
      </c>
      <c r="K333" s="5" t="s">
        <v>291</v>
      </c>
      <c r="L333" s="8" t="s">
        <v>70</v>
      </c>
      <c r="M333" s="5" t="s">
        <v>71</v>
      </c>
      <c r="N333" s="45" t="s">
        <v>454</v>
      </c>
      <c r="O333" s="45" t="s">
        <v>119</v>
      </c>
      <c r="P333" s="45"/>
      <c r="Q333" s="45" t="s">
        <v>120</v>
      </c>
      <c r="R333" s="95" t="s">
        <v>121</v>
      </c>
      <c r="S333" s="58">
        <v>0</v>
      </c>
      <c r="T333" s="58"/>
      <c r="U333" s="91">
        <v>0</v>
      </c>
      <c r="V333" s="91"/>
      <c r="W333" s="53" t="e">
        <f>PROYECTOS_DIH[[#This Row],[VALOR DESEMBOLSOS PROYECTO]]/PROYECTOS_DIH[[#This Row],[Valor Proyecto Inicial.]]</f>
        <v>#DIV/0!</v>
      </c>
      <c r="X333" s="54">
        <v>0</v>
      </c>
      <c r="Y333" s="54" t="s">
        <v>1180</v>
      </c>
      <c r="Z333" s="92"/>
      <c r="AA333" s="57" t="s">
        <v>293</v>
      </c>
      <c r="AB333" s="5" t="s">
        <v>1137</v>
      </c>
      <c r="AC333" s="56" t="s">
        <v>96</v>
      </c>
      <c r="AD333" s="59">
        <v>3.9335244629999999</v>
      </c>
      <c r="AE333" s="59">
        <v>-76.48439175</v>
      </c>
      <c r="AF333" s="5" t="s">
        <v>74</v>
      </c>
      <c r="AG333" s="77" t="s">
        <v>75</v>
      </c>
    </row>
    <row r="334" spans="1:33" s="99" customFormat="1" ht="11.4" customHeight="1" x14ac:dyDescent="0.3">
      <c r="A334" s="1" t="s">
        <v>34</v>
      </c>
      <c r="B334" s="43">
        <v>316</v>
      </c>
      <c r="C334" s="94">
        <v>17099</v>
      </c>
      <c r="D334" s="19">
        <v>2026</v>
      </c>
      <c r="E334" s="44" t="s">
        <v>35</v>
      </c>
      <c r="F334" s="45" t="s">
        <v>36</v>
      </c>
      <c r="G334" s="46">
        <v>45653</v>
      </c>
      <c r="H334" s="46">
        <v>46441</v>
      </c>
      <c r="I334" s="112" t="s">
        <v>68</v>
      </c>
      <c r="J334" s="48">
        <v>76126</v>
      </c>
      <c r="K334" s="112" t="s">
        <v>291</v>
      </c>
      <c r="L334" s="112" t="s">
        <v>70</v>
      </c>
      <c r="M334" s="112" t="s">
        <v>71</v>
      </c>
      <c r="N334" s="112" t="s">
        <v>454</v>
      </c>
      <c r="O334" s="125" t="s">
        <v>42</v>
      </c>
      <c r="P334" s="49"/>
      <c r="Q334" s="125" t="s">
        <v>44</v>
      </c>
      <c r="R334" s="125" t="s">
        <v>214</v>
      </c>
      <c r="S334" s="51">
        <v>0</v>
      </c>
      <c r="T334" s="51"/>
      <c r="U334" s="113">
        <v>7130510322.8500004</v>
      </c>
      <c r="V334" s="113"/>
      <c r="W334" s="79">
        <f>PROYECTOS_DIH[[#This Row],[VALOR DESEMBOLSOS PROYECTO]]/PROYECTOS_DIH[[#This Row],[Valor Proyecto Inicial.]]</f>
        <v>0</v>
      </c>
      <c r="X334" s="54"/>
      <c r="Y334" s="54" t="s">
        <v>1180</v>
      </c>
      <c r="Z334" s="55"/>
      <c r="AA334" s="57" t="s">
        <v>1002</v>
      </c>
      <c r="AB334" s="5" t="s">
        <v>1137</v>
      </c>
      <c r="AC334" s="56" t="s">
        <v>96</v>
      </c>
      <c r="AD334" s="59">
        <v>3.9335244629999999</v>
      </c>
      <c r="AE334" s="59">
        <v>-76.48439175</v>
      </c>
      <c r="AF334" s="5" t="s">
        <v>74</v>
      </c>
      <c r="AG334" s="77" t="s">
        <v>75</v>
      </c>
    </row>
    <row r="335" spans="1:33" s="99" customFormat="1" ht="11.4" customHeight="1" x14ac:dyDescent="0.3">
      <c r="A335" s="7" t="s">
        <v>114</v>
      </c>
      <c r="B335" s="43">
        <v>154</v>
      </c>
      <c r="C335" s="94">
        <v>17100</v>
      </c>
      <c r="D335" s="44">
        <v>2025</v>
      </c>
      <c r="E335" s="44" t="s">
        <v>551</v>
      </c>
      <c r="F335" s="5" t="s">
        <v>552</v>
      </c>
      <c r="G335" s="11">
        <v>45968</v>
      </c>
      <c r="H335" s="11">
        <v>46721</v>
      </c>
      <c r="I335" s="5" t="s">
        <v>160</v>
      </c>
      <c r="J335" s="82">
        <v>73217</v>
      </c>
      <c r="K335" s="5" t="s">
        <v>553</v>
      </c>
      <c r="L335" s="8" t="s">
        <v>70</v>
      </c>
      <c r="M335" s="5" t="s">
        <v>71</v>
      </c>
      <c r="N335" s="45" t="s">
        <v>554</v>
      </c>
      <c r="O335" s="45" t="s">
        <v>119</v>
      </c>
      <c r="P335" s="45"/>
      <c r="Q335" s="45" t="s">
        <v>120</v>
      </c>
      <c r="R335" s="95" t="s">
        <v>121</v>
      </c>
      <c r="S335" s="58">
        <v>0</v>
      </c>
      <c r="T335" s="58"/>
      <c r="U335" s="91">
        <v>0</v>
      </c>
      <c r="V335" s="91"/>
      <c r="W335" s="53" t="e">
        <f>PROYECTOS_DIH[[#This Row],[VALOR DESEMBOLSOS PROYECTO]]/PROYECTOS_DIH[[#This Row],[Valor Proyecto Inicial.]]</f>
        <v>#DIV/0!</v>
      </c>
      <c r="X335" s="54">
        <v>0</v>
      </c>
      <c r="Y335" s="54" t="s">
        <v>1180</v>
      </c>
      <c r="Z335" s="92"/>
      <c r="AA335" s="57" t="s">
        <v>555</v>
      </c>
      <c r="AB335" s="5" t="s">
        <v>1146</v>
      </c>
      <c r="AC335" s="56" t="s">
        <v>62</v>
      </c>
      <c r="AD335" s="59">
        <v>3.7980279800000001</v>
      </c>
      <c r="AE335" s="59">
        <v>-75.193878299999994</v>
      </c>
      <c r="AF335" s="5" t="s">
        <v>163</v>
      </c>
      <c r="AG335" s="81" t="s">
        <v>80</v>
      </c>
    </row>
    <row r="336" spans="1:33" s="99" customFormat="1" ht="11.4" customHeight="1" x14ac:dyDescent="0.3">
      <c r="A336" s="1" t="s">
        <v>34</v>
      </c>
      <c r="B336" s="43">
        <v>317</v>
      </c>
      <c r="C336" s="94">
        <v>17100</v>
      </c>
      <c r="D336" s="19">
        <v>2026</v>
      </c>
      <c r="E336" s="44" t="s">
        <v>35</v>
      </c>
      <c r="F336" s="45" t="s">
        <v>36</v>
      </c>
      <c r="G336" s="46">
        <v>45653</v>
      </c>
      <c r="H336" s="46">
        <v>46441</v>
      </c>
      <c r="I336" s="112" t="s">
        <v>160</v>
      </c>
      <c r="J336" s="82">
        <v>73217</v>
      </c>
      <c r="K336" s="112" t="s">
        <v>553</v>
      </c>
      <c r="L336" s="112" t="s">
        <v>70</v>
      </c>
      <c r="M336" s="112" t="s">
        <v>71</v>
      </c>
      <c r="N336" s="112" t="s">
        <v>554</v>
      </c>
      <c r="O336" s="125" t="s">
        <v>42</v>
      </c>
      <c r="P336" s="49"/>
      <c r="Q336" s="125" t="s">
        <v>44</v>
      </c>
      <c r="R336" s="125" t="s">
        <v>214</v>
      </c>
      <c r="S336" s="51">
        <v>0</v>
      </c>
      <c r="T336" s="51"/>
      <c r="U336" s="113">
        <v>4568336697.6099997</v>
      </c>
      <c r="V336" s="113"/>
      <c r="W336" s="79">
        <f>PROYECTOS_DIH[[#This Row],[VALOR DESEMBOLSOS PROYECTO]]/PROYECTOS_DIH[[#This Row],[Valor Proyecto Inicial.]]</f>
        <v>0</v>
      </c>
      <c r="X336" s="54"/>
      <c r="Y336" s="54" t="s">
        <v>1180</v>
      </c>
      <c r="Z336" s="55"/>
      <c r="AA336" s="57" t="s">
        <v>1003</v>
      </c>
      <c r="AB336" s="5" t="s">
        <v>1146</v>
      </c>
      <c r="AC336" s="56" t="s">
        <v>62</v>
      </c>
      <c r="AD336" s="59">
        <v>3.7980279800000001</v>
      </c>
      <c r="AE336" s="59">
        <v>-75.193878299999994</v>
      </c>
      <c r="AF336" s="5" t="s">
        <v>163</v>
      </c>
      <c r="AG336" s="81" t="s">
        <v>80</v>
      </c>
    </row>
    <row r="337" spans="1:33" s="99" customFormat="1" ht="11.4" customHeight="1" x14ac:dyDescent="0.3">
      <c r="A337" s="7" t="s">
        <v>114</v>
      </c>
      <c r="B337" s="43">
        <v>319</v>
      </c>
      <c r="C337" s="94">
        <v>17101</v>
      </c>
      <c r="D337" s="44">
        <v>2025</v>
      </c>
      <c r="E337" s="44" t="s">
        <v>66</v>
      </c>
      <c r="F337" s="45" t="s">
        <v>1006</v>
      </c>
      <c r="G337" s="46">
        <v>45968</v>
      </c>
      <c r="H337" s="46">
        <v>46721</v>
      </c>
      <c r="I337" s="47" t="s">
        <v>68</v>
      </c>
      <c r="J337" s="48">
        <v>76736</v>
      </c>
      <c r="K337" s="45" t="s">
        <v>69</v>
      </c>
      <c r="L337" s="8" t="s">
        <v>70</v>
      </c>
      <c r="M337" s="45" t="s">
        <v>71</v>
      </c>
      <c r="N337" s="45" t="s">
        <v>1007</v>
      </c>
      <c r="O337" s="45" t="s">
        <v>119</v>
      </c>
      <c r="P337" s="45"/>
      <c r="Q337" s="2" t="s">
        <v>120</v>
      </c>
      <c r="R337" s="2" t="s">
        <v>121</v>
      </c>
      <c r="S337" s="51">
        <v>0</v>
      </c>
      <c r="T337" s="51"/>
      <c r="U337" s="91">
        <v>0</v>
      </c>
      <c r="V337" s="91"/>
      <c r="W337" s="53" t="e">
        <f>PROYECTOS_DIH[[#This Row],[VALOR DESEMBOLSOS PROYECTO]]/PROYECTOS_DIH[[#This Row],[Valor Proyecto Inicial.]]</f>
        <v>#DIV/0!</v>
      </c>
      <c r="X337" s="54">
        <v>0</v>
      </c>
      <c r="Y337" s="54" t="s">
        <v>1180</v>
      </c>
      <c r="Z337" s="55"/>
      <c r="AA337" s="57" t="s">
        <v>1008</v>
      </c>
      <c r="AB337" s="5" t="s">
        <v>1137</v>
      </c>
      <c r="AC337" s="56" t="s">
        <v>62</v>
      </c>
      <c r="AD337" s="59">
        <v>4.267033273</v>
      </c>
      <c r="AE337" s="59">
        <v>-75.930940579999998</v>
      </c>
      <c r="AF337" s="5" t="s">
        <v>74</v>
      </c>
      <c r="AG337" s="77" t="s">
        <v>75</v>
      </c>
    </row>
    <row r="338" spans="1:33" s="99" customFormat="1" ht="11.4" customHeight="1" x14ac:dyDescent="0.3">
      <c r="A338" s="1" t="s">
        <v>34</v>
      </c>
      <c r="B338" s="43">
        <v>320</v>
      </c>
      <c r="C338" s="94">
        <v>17101</v>
      </c>
      <c r="D338" s="19">
        <v>2026</v>
      </c>
      <c r="E338" s="44" t="s">
        <v>35</v>
      </c>
      <c r="F338" s="45" t="s">
        <v>36</v>
      </c>
      <c r="G338" s="46">
        <v>45653</v>
      </c>
      <c r="H338" s="46">
        <v>46441</v>
      </c>
      <c r="I338" s="111" t="s">
        <v>68</v>
      </c>
      <c r="J338" s="48">
        <v>76736</v>
      </c>
      <c r="K338" s="111" t="s">
        <v>69</v>
      </c>
      <c r="L338" s="112" t="s">
        <v>70</v>
      </c>
      <c r="M338" s="111" t="s">
        <v>71</v>
      </c>
      <c r="N338" s="111" t="s">
        <v>1007</v>
      </c>
      <c r="O338" s="45" t="s">
        <v>42</v>
      </c>
      <c r="P338" s="49"/>
      <c r="Q338" s="2" t="s">
        <v>44</v>
      </c>
      <c r="R338" s="2" t="s">
        <v>121</v>
      </c>
      <c r="S338" s="51">
        <v>0</v>
      </c>
      <c r="T338" s="51"/>
      <c r="U338" s="113">
        <v>1912520606.1500001</v>
      </c>
      <c r="V338" s="113"/>
      <c r="W338" s="79">
        <f>PROYECTOS_DIH[[#This Row],[VALOR DESEMBOLSOS PROYECTO]]/PROYECTOS_DIH[[#This Row],[Valor Proyecto Inicial.]]</f>
        <v>0</v>
      </c>
      <c r="X338" s="54"/>
      <c r="Y338" s="54" t="s">
        <v>1180</v>
      </c>
      <c r="Z338" s="55"/>
      <c r="AA338" s="57" t="s">
        <v>1009</v>
      </c>
      <c r="AB338" s="5" t="s">
        <v>1137</v>
      </c>
      <c r="AC338" s="56" t="s">
        <v>62</v>
      </c>
      <c r="AD338" s="59">
        <v>4.267033273</v>
      </c>
      <c r="AE338" s="59">
        <v>-75.930940579999998</v>
      </c>
      <c r="AF338" s="5" t="s">
        <v>74</v>
      </c>
      <c r="AG338" s="77" t="s">
        <v>75</v>
      </c>
    </row>
    <row r="339" spans="1:33" s="99" customFormat="1" ht="11.4" customHeight="1" x14ac:dyDescent="0.3">
      <c r="A339" s="114" t="s">
        <v>221</v>
      </c>
      <c r="B339" s="43">
        <v>321</v>
      </c>
      <c r="C339" s="94">
        <v>17102</v>
      </c>
      <c r="D339" s="44">
        <v>2024</v>
      </c>
      <c r="E339" s="44" t="s">
        <v>222</v>
      </c>
      <c r="F339" s="45" t="s">
        <v>223</v>
      </c>
      <c r="G339" s="46">
        <v>45558</v>
      </c>
      <c r="H339" s="46">
        <v>46575</v>
      </c>
      <c r="I339" s="47" t="s">
        <v>285</v>
      </c>
      <c r="J339" s="48">
        <v>63302</v>
      </c>
      <c r="K339" s="127" t="s">
        <v>1010</v>
      </c>
      <c r="L339" s="8" t="s">
        <v>70</v>
      </c>
      <c r="M339" s="4" t="s">
        <v>225</v>
      </c>
      <c r="N339" s="45" t="s">
        <v>226</v>
      </c>
      <c r="O339" s="49" t="s">
        <v>42</v>
      </c>
      <c r="P339" s="49"/>
      <c r="Q339" s="49" t="s">
        <v>44</v>
      </c>
      <c r="R339" s="117" t="s">
        <v>379</v>
      </c>
      <c r="S339" s="51">
        <v>0</v>
      </c>
      <c r="T339" s="51"/>
      <c r="U339" s="52">
        <v>3760987750.8000002</v>
      </c>
      <c r="V339" s="52"/>
      <c r="W339" s="53">
        <f>PROYECTOS_DIH[[#This Row],[VALOR DESEMBOLSOS PROYECTO]]/PROYECTOS_DIH[[#This Row],[Valor Proyecto Inicial.]]</f>
        <v>5.9793837736420415E-3</v>
      </c>
      <c r="X339" s="54">
        <v>22488389.129999999</v>
      </c>
      <c r="Y339" s="54" t="s">
        <v>1169</v>
      </c>
      <c r="Z339" s="55">
        <v>4001</v>
      </c>
      <c r="AA339" s="122" t="s">
        <v>1011</v>
      </c>
      <c r="AB339" s="5" t="s">
        <v>1164</v>
      </c>
      <c r="AC339" s="56" t="s">
        <v>96</v>
      </c>
      <c r="AD339" s="59">
        <v>4.2074778879999997</v>
      </c>
      <c r="AE339" s="59">
        <v>-75.789816610000003</v>
      </c>
      <c r="AF339" s="5" t="s">
        <v>288</v>
      </c>
      <c r="AG339" s="60" t="s">
        <v>49</v>
      </c>
    </row>
    <row r="340" spans="1:33" s="99" customFormat="1" ht="11.4" customHeight="1" x14ac:dyDescent="0.3">
      <c r="A340" s="16" t="s">
        <v>725</v>
      </c>
      <c r="B340" s="43">
        <v>322</v>
      </c>
      <c r="C340" s="94">
        <v>17103</v>
      </c>
      <c r="D340" s="44">
        <v>2025</v>
      </c>
      <c r="E340" s="44" t="s">
        <v>303</v>
      </c>
      <c r="F340" s="5" t="s">
        <v>1012</v>
      </c>
      <c r="G340" s="46">
        <v>45967</v>
      </c>
      <c r="H340" s="46">
        <v>46387</v>
      </c>
      <c r="I340" s="47" t="s">
        <v>166</v>
      </c>
      <c r="J340" s="48">
        <v>41676</v>
      </c>
      <c r="K340" s="5" t="s">
        <v>1013</v>
      </c>
      <c r="L340" s="45" t="s">
        <v>39</v>
      </c>
      <c r="M340" s="45" t="s">
        <v>126</v>
      </c>
      <c r="N340" s="5" t="s">
        <v>1014</v>
      </c>
      <c r="O340" s="45" t="s">
        <v>42</v>
      </c>
      <c r="P340" s="45"/>
      <c r="Q340" s="49" t="s">
        <v>44</v>
      </c>
      <c r="R340" s="95" t="s">
        <v>880</v>
      </c>
      <c r="S340" s="58">
        <v>0</v>
      </c>
      <c r="T340" s="58"/>
      <c r="U340" s="91">
        <v>1674616133</v>
      </c>
      <c r="V340" s="91"/>
      <c r="W340" s="53">
        <f>PROYECTOS_DIH[[#This Row],[VALOR DESEMBOLSOS PROYECTO]]/PROYECTOS_DIH[[#This Row],[Valor Proyecto Inicial.]]</f>
        <v>0</v>
      </c>
      <c r="X340" s="54">
        <v>0</v>
      </c>
      <c r="Y340" s="54" t="s">
        <v>1180</v>
      </c>
      <c r="Z340" s="92">
        <v>1583</v>
      </c>
      <c r="AA340" s="57" t="s">
        <v>1015</v>
      </c>
      <c r="AB340" s="5" t="s">
        <v>1155</v>
      </c>
      <c r="AC340" s="56" t="s">
        <v>62</v>
      </c>
      <c r="AD340" s="59">
        <v>2.9397552230000001</v>
      </c>
      <c r="AE340" s="59">
        <v>-75.586115939999999</v>
      </c>
      <c r="AF340" s="5" t="s">
        <v>172</v>
      </c>
      <c r="AG340" s="81" t="s">
        <v>80</v>
      </c>
    </row>
    <row r="341" spans="1:33" s="99" customFormat="1" ht="11.4" customHeight="1" x14ac:dyDescent="0.3">
      <c r="A341" s="16" t="s">
        <v>725</v>
      </c>
      <c r="B341" s="43">
        <v>324</v>
      </c>
      <c r="C341" s="94">
        <v>17104</v>
      </c>
      <c r="D341" s="19">
        <v>2025</v>
      </c>
      <c r="E341" s="44" t="s">
        <v>726</v>
      </c>
      <c r="F341" s="45" t="s">
        <v>1018</v>
      </c>
      <c r="G341" s="46">
        <v>45968</v>
      </c>
      <c r="H341" s="46">
        <v>46568</v>
      </c>
      <c r="I341" s="45" t="s">
        <v>76</v>
      </c>
      <c r="J341" s="98">
        <v>25324</v>
      </c>
      <c r="K341" s="45" t="s">
        <v>1019</v>
      </c>
      <c r="L341" s="8" t="s">
        <v>70</v>
      </c>
      <c r="M341" s="45" t="s">
        <v>701</v>
      </c>
      <c r="N341" s="155" t="s">
        <v>1020</v>
      </c>
      <c r="O341" s="45" t="s">
        <v>42</v>
      </c>
      <c r="P341" s="49" t="s">
        <v>43</v>
      </c>
      <c r="Q341" s="49" t="s">
        <v>44</v>
      </c>
      <c r="R341" s="95" t="s">
        <v>730</v>
      </c>
      <c r="S341" s="51">
        <v>0</v>
      </c>
      <c r="T341" s="51"/>
      <c r="U341" s="113">
        <v>2278511818</v>
      </c>
      <c r="V341" s="113"/>
      <c r="W341" s="53">
        <f>PROYECTOS_DIH[[#This Row],[VALOR DESEMBOLSOS PROYECTO]]/PROYECTOS_DIH[[#This Row],[Valor Proyecto Inicial.]]</f>
        <v>0</v>
      </c>
      <c r="X341" s="54">
        <v>0</v>
      </c>
      <c r="Y341" s="54" t="s">
        <v>1180</v>
      </c>
      <c r="Z341" s="55">
        <v>3440</v>
      </c>
      <c r="AA341" s="57" t="s">
        <v>1021</v>
      </c>
      <c r="AB341" s="5" t="s">
        <v>1158</v>
      </c>
      <c r="AC341" s="56" t="s">
        <v>62</v>
      </c>
      <c r="AD341" s="59">
        <v>4.5174172349999999</v>
      </c>
      <c r="AE341" s="59">
        <v>-74.789968779999995</v>
      </c>
      <c r="AF341" s="5" t="s">
        <v>79</v>
      </c>
      <c r="AG341" s="81" t="s">
        <v>80</v>
      </c>
    </row>
    <row r="342" spans="1:33" s="99" customFormat="1" ht="11.4" customHeight="1" x14ac:dyDescent="0.3">
      <c r="A342" s="9" t="s">
        <v>307</v>
      </c>
      <c r="B342" s="43">
        <v>325</v>
      </c>
      <c r="C342" s="94">
        <v>17106</v>
      </c>
      <c r="D342" s="44">
        <v>2025</v>
      </c>
      <c r="E342" s="44" t="s">
        <v>308</v>
      </c>
      <c r="F342" s="45" t="s">
        <v>309</v>
      </c>
      <c r="G342" s="46">
        <v>41271</v>
      </c>
      <c r="H342" s="46">
        <v>46538</v>
      </c>
      <c r="I342" s="8" t="s">
        <v>37</v>
      </c>
      <c r="J342" s="78">
        <v>27787</v>
      </c>
      <c r="K342" s="8" t="s">
        <v>331</v>
      </c>
      <c r="L342" s="45" t="s">
        <v>39</v>
      </c>
      <c r="M342" s="45" t="s">
        <v>126</v>
      </c>
      <c r="N342" s="83" t="s">
        <v>1022</v>
      </c>
      <c r="O342" s="49" t="s">
        <v>42</v>
      </c>
      <c r="P342" s="49"/>
      <c r="Q342" s="152" t="s">
        <v>44</v>
      </c>
      <c r="R342" s="50" t="s">
        <v>1023</v>
      </c>
      <c r="S342" s="51">
        <v>0</v>
      </c>
      <c r="T342" s="51"/>
      <c r="U342" s="89">
        <v>8000000000</v>
      </c>
      <c r="V342" s="89"/>
      <c r="W342" s="79">
        <f>PROYECTOS_DIH[[#This Row],[VALOR DESEMBOLSOS PROYECTO]]/PROYECTOS_DIH[[#This Row],[Valor Proyecto Inicial.]]</f>
        <v>0</v>
      </c>
      <c r="X342" s="54">
        <v>0</v>
      </c>
      <c r="Y342" s="54" t="s">
        <v>1180</v>
      </c>
      <c r="Z342" s="86"/>
      <c r="AA342" s="156" t="s">
        <v>1024</v>
      </c>
      <c r="AB342" s="5" t="s">
        <v>1153</v>
      </c>
      <c r="AC342" s="56" t="s">
        <v>96</v>
      </c>
      <c r="AD342" s="59">
        <v>5.2641399489999996</v>
      </c>
      <c r="AE342" s="59">
        <v>-76.558766019999993</v>
      </c>
      <c r="AF342" s="5" t="s">
        <v>330</v>
      </c>
      <c r="AG342" s="77" t="s">
        <v>75</v>
      </c>
    </row>
    <row r="343" spans="1:33" s="99" customFormat="1" ht="11.4" customHeight="1" x14ac:dyDescent="0.3">
      <c r="A343" s="9" t="s">
        <v>307</v>
      </c>
      <c r="B343" s="43">
        <v>327</v>
      </c>
      <c r="C343" s="94">
        <v>17107</v>
      </c>
      <c r="D343" s="44">
        <v>2025</v>
      </c>
      <c r="E343" s="44" t="s">
        <v>308</v>
      </c>
      <c r="F343" s="45" t="s">
        <v>309</v>
      </c>
      <c r="G343" s="46">
        <v>41271</v>
      </c>
      <c r="H343" s="46">
        <v>46538</v>
      </c>
      <c r="I343" s="8" t="s">
        <v>176</v>
      </c>
      <c r="J343" s="78">
        <v>54001</v>
      </c>
      <c r="K343" s="8" t="s">
        <v>621</v>
      </c>
      <c r="L343" s="45" t="s">
        <v>70</v>
      </c>
      <c r="M343" s="4" t="s">
        <v>71</v>
      </c>
      <c r="N343" s="83" t="s">
        <v>1027</v>
      </c>
      <c r="O343" s="45" t="s">
        <v>42</v>
      </c>
      <c r="P343" s="49"/>
      <c r="Q343" s="152" t="s">
        <v>44</v>
      </c>
      <c r="R343" s="88" t="s">
        <v>1023</v>
      </c>
      <c r="S343" s="84">
        <v>0</v>
      </c>
      <c r="T343" s="84"/>
      <c r="U343" s="89">
        <v>1272044450</v>
      </c>
      <c r="V343" s="89"/>
      <c r="W343" s="79">
        <f>PROYECTOS_DIH[[#This Row],[VALOR DESEMBOLSOS PROYECTO]]/PROYECTOS_DIH[[#This Row],[Valor Proyecto Inicial.]]</f>
        <v>0</v>
      </c>
      <c r="X343" s="54">
        <v>0</v>
      </c>
      <c r="Y343" s="54" t="s">
        <v>1180</v>
      </c>
      <c r="Z343" s="86">
        <v>180</v>
      </c>
      <c r="AA343" s="156" t="s">
        <v>1028</v>
      </c>
      <c r="AB343" s="5" t="s">
        <v>1136</v>
      </c>
      <c r="AC343" s="56" t="s">
        <v>62</v>
      </c>
      <c r="AD343" s="59">
        <v>7.9053062949999999</v>
      </c>
      <c r="AE343" s="59">
        <v>-72.508256200000005</v>
      </c>
      <c r="AF343" s="5" t="s">
        <v>180</v>
      </c>
      <c r="AG343" s="126" t="s">
        <v>110</v>
      </c>
    </row>
    <row r="344" spans="1:33" s="99" customFormat="1" ht="11.4" customHeight="1" x14ac:dyDescent="0.3">
      <c r="A344" s="1" t="s">
        <v>34</v>
      </c>
      <c r="B344" s="43">
        <v>330</v>
      </c>
      <c r="C344" s="94">
        <v>17108</v>
      </c>
      <c r="D344" s="19">
        <v>2024</v>
      </c>
      <c r="E344" s="44" t="s">
        <v>35</v>
      </c>
      <c r="F344" s="45" t="s">
        <v>36</v>
      </c>
      <c r="G344" s="46">
        <v>45653</v>
      </c>
      <c r="H344" s="46">
        <v>46441</v>
      </c>
      <c r="I344" s="47" t="s">
        <v>37</v>
      </c>
      <c r="J344" s="145">
        <v>27001</v>
      </c>
      <c r="K344" s="97" t="s">
        <v>840</v>
      </c>
      <c r="L344" s="112" t="s">
        <v>70</v>
      </c>
      <c r="M344" s="46" t="s">
        <v>71</v>
      </c>
      <c r="N344" s="4" t="s">
        <v>1031</v>
      </c>
      <c r="O344" s="45" t="s">
        <v>42</v>
      </c>
      <c r="P344" s="49"/>
      <c r="Q344" s="49" t="s">
        <v>44</v>
      </c>
      <c r="R344" s="50" t="s">
        <v>1023</v>
      </c>
      <c r="S344" s="51">
        <v>0</v>
      </c>
      <c r="T344" s="51"/>
      <c r="U344" s="113">
        <v>17669000000</v>
      </c>
      <c r="V344" s="113"/>
      <c r="W344" s="53">
        <f>PROYECTOS_DIH[[#This Row],[VALOR DESEMBOLSOS PROYECTO]]/PROYECTOS_DIH[[#This Row],[Valor Proyecto Inicial.]]</f>
        <v>0</v>
      </c>
      <c r="X344" s="54">
        <v>0</v>
      </c>
      <c r="Y344" s="54" t="s">
        <v>1180</v>
      </c>
      <c r="Z344" s="55">
        <v>146875</v>
      </c>
      <c r="AA344" s="57" t="s">
        <v>1032</v>
      </c>
      <c r="AB344" s="5" t="s">
        <v>1153</v>
      </c>
      <c r="AC344" s="56" t="s">
        <v>96</v>
      </c>
      <c r="AD344" s="59">
        <v>5.6921951870000003</v>
      </c>
      <c r="AE344" s="59">
        <v>-76.625969359999999</v>
      </c>
      <c r="AF344" s="5" t="s">
        <v>330</v>
      </c>
      <c r="AG344" s="77" t="s">
        <v>75</v>
      </c>
    </row>
    <row r="345" spans="1:33" s="99" customFormat="1" ht="11.4" customHeight="1" x14ac:dyDescent="0.3">
      <c r="A345" s="9" t="s">
        <v>307</v>
      </c>
      <c r="B345" s="43">
        <v>331</v>
      </c>
      <c r="C345" s="94">
        <v>17109</v>
      </c>
      <c r="D345" s="44">
        <v>2025</v>
      </c>
      <c r="E345" s="44" t="s">
        <v>308</v>
      </c>
      <c r="F345" s="45" t="s">
        <v>309</v>
      </c>
      <c r="G345" s="46">
        <v>41271</v>
      </c>
      <c r="H345" s="46">
        <v>46538</v>
      </c>
      <c r="I345" s="8" t="s">
        <v>68</v>
      </c>
      <c r="J345" s="78">
        <v>76109</v>
      </c>
      <c r="K345" s="8" t="s">
        <v>410</v>
      </c>
      <c r="L345" s="45" t="s">
        <v>70</v>
      </c>
      <c r="M345" s="4" t="s">
        <v>423</v>
      </c>
      <c r="N345" s="83" t="s">
        <v>1033</v>
      </c>
      <c r="O345" s="49" t="s">
        <v>42</v>
      </c>
      <c r="P345" s="49"/>
      <c r="Q345" s="152" t="s">
        <v>44</v>
      </c>
      <c r="R345" s="50" t="s">
        <v>1023</v>
      </c>
      <c r="S345" s="51">
        <v>0</v>
      </c>
      <c r="T345" s="51"/>
      <c r="U345" s="89">
        <v>2800000000</v>
      </c>
      <c r="V345" s="89"/>
      <c r="W345" s="79">
        <f>PROYECTOS_DIH[[#This Row],[VALOR DESEMBOLSOS PROYECTO]]/PROYECTOS_DIH[[#This Row],[Valor Proyecto Inicial.]]</f>
        <v>0</v>
      </c>
      <c r="X345" s="54">
        <v>0</v>
      </c>
      <c r="Y345" s="54" t="s">
        <v>1180</v>
      </c>
      <c r="Z345" s="86"/>
      <c r="AA345" s="156" t="s">
        <v>1034</v>
      </c>
      <c r="AB345" s="5" t="s">
        <v>1137</v>
      </c>
      <c r="AC345" s="56" t="s">
        <v>47</v>
      </c>
      <c r="AD345" s="59">
        <v>3.8758024369999999</v>
      </c>
      <c r="AE345" s="59">
        <v>-77.011740200000006</v>
      </c>
      <c r="AF345" s="5" t="s">
        <v>74</v>
      </c>
      <c r="AG345" s="77" t="s">
        <v>75</v>
      </c>
    </row>
    <row r="346" spans="1:33" s="99" customFormat="1" ht="11.4" customHeight="1" x14ac:dyDescent="0.3">
      <c r="A346" s="1" t="s">
        <v>34</v>
      </c>
      <c r="B346" s="43">
        <v>332</v>
      </c>
      <c r="C346" s="94">
        <v>17110</v>
      </c>
      <c r="D346" s="19">
        <v>2024</v>
      </c>
      <c r="E346" s="44" t="s">
        <v>35</v>
      </c>
      <c r="F346" s="45" t="s">
        <v>36</v>
      </c>
      <c r="G346" s="46">
        <v>45653</v>
      </c>
      <c r="H346" s="46">
        <v>46441</v>
      </c>
      <c r="I346" s="47" t="s">
        <v>166</v>
      </c>
      <c r="J346" s="115">
        <v>41132</v>
      </c>
      <c r="K346" s="4" t="s">
        <v>1035</v>
      </c>
      <c r="L346" s="45" t="s">
        <v>39</v>
      </c>
      <c r="M346" s="45" t="s">
        <v>126</v>
      </c>
      <c r="N346" s="4" t="s">
        <v>1036</v>
      </c>
      <c r="O346" s="49" t="s">
        <v>42</v>
      </c>
      <c r="P346" s="49" t="s">
        <v>132</v>
      </c>
      <c r="Q346" s="49" t="s">
        <v>44</v>
      </c>
      <c r="R346" s="50" t="s">
        <v>699</v>
      </c>
      <c r="S346" s="51">
        <v>0</v>
      </c>
      <c r="T346" s="51"/>
      <c r="U346" s="52">
        <v>2880500000</v>
      </c>
      <c r="V346" s="52"/>
      <c r="W346" s="53">
        <f>PROYECTOS_DIH[[#This Row],[VALOR DESEMBOLSOS PROYECTO]]/PROYECTOS_DIH[[#This Row],[Valor Proyecto Inicial.]]</f>
        <v>0</v>
      </c>
      <c r="X346" s="54">
        <v>0</v>
      </c>
      <c r="Y346" s="54" t="s">
        <v>1180</v>
      </c>
      <c r="Z346" s="55">
        <v>30000</v>
      </c>
      <c r="AA346" s="57" t="s">
        <v>1037</v>
      </c>
      <c r="AB346" s="5" t="s">
        <v>1155</v>
      </c>
      <c r="AC346" s="56" t="s">
        <v>62</v>
      </c>
      <c r="AD346" s="59">
        <v>2.6868274009999999</v>
      </c>
      <c r="AE346" s="59">
        <v>-75.325735460000004</v>
      </c>
      <c r="AF346" s="5" t="s">
        <v>172</v>
      </c>
      <c r="AG346" s="81" t="s">
        <v>80</v>
      </c>
    </row>
    <row r="347" spans="1:33" s="99" customFormat="1" ht="11.4" customHeight="1" x14ac:dyDescent="0.3">
      <c r="A347" s="157" t="s">
        <v>1038</v>
      </c>
      <c r="B347" s="43">
        <v>333</v>
      </c>
      <c r="C347" s="94">
        <v>17111</v>
      </c>
      <c r="D347" s="44">
        <v>2025</v>
      </c>
      <c r="E347" s="44" t="s">
        <v>289</v>
      </c>
      <c r="F347" s="5" t="s">
        <v>1039</v>
      </c>
      <c r="G347" s="11">
        <v>46020</v>
      </c>
      <c r="H347" s="11">
        <v>46283</v>
      </c>
      <c r="I347" s="47" t="s">
        <v>268</v>
      </c>
      <c r="J347" s="48">
        <v>19137</v>
      </c>
      <c r="K347" s="97" t="s">
        <v>474</v>
      </c>
      <c r="L347" s="45" t="s">
        <v>39</v>
      </c>
      <c r="M347" s="45" t="s">
        <v>126</v>
      </c>
      <c r="N347" s="5" t="s">
        <v>1040</v>
      </c>
      <c r="O347" s="49" t="s">
        <v>42</v>
      </c>
      <c r="P347" s="49"/>
      <c r="Q347" s="49" t="s">
        <v>44</v>
      </c>
      <c r="R347" s="50" t="s">
        <v>1023</v>
      </c>
      <c r="S347" s="58">
        <v>0</v>
      </c>
      <c r="T347" s="58"/>
      <c r="U347" s="91">
        <v>572967010</v>
      </c>
      <c r="V347" s="91"/>
      <c r="W347" s="53">
        <f>PROYECTOS_DIH[[#This Row],[VALOR DESEMBOLSOS PROYECTO]]/PROYECTOS_DIH[[#This Row],[Valor Proyecto Inicial.]]</f>
        <v>0</v>
      </c>
      <c r="X347" s="54">
        <v>0</v>
      </c>
      <c r="Y347" s="54" t="s">
        <v>1180</v>
      </c>
      <c r="Z347" s="92">
        <v>2850</v>
      </c>
      <c r="AA347" s="158" t="s">
        <v>1041</v>
      </c>
      <c r="AB347" s="5" t="s">
        <v>1138</v>
      </c>
      <c r="AC347" s="56" t="s">
        <v>47</v>
      </c>
      <c r="AD347" s="59">
        <v>2.798130826</v>
      </c>
      <c r="AE347" s="59">
        <v>-76.484447860000003</v>
      </c>
      <c r="AF347" s="5" t="s">
        <v>272</v>
      </c>
      <c r="AG347" s="77" t="s">
        <v>75</v>
      </c>
    </row>
    <row r="348" spans="1:33" s="99" customFormat="1" ht="11.4" customHeight="1" x14ac:dyDescent="0.3">
      <c r="A348" s="157" t="s">
        <v>1038</v>
      </c>
      <c r="B348" s="43">
        <v>334</v>
      </c>
      <c r="C348" s="94">
        <v>17112</v>
      </c>
      <c r="D348" s="44">
        <v>2025</v>
      </c>
      <c r="E348" s="44" t="s">
        <v>289</v>
      </c>
      <c r="F348" s="5" t="s">
        <v>1039</v>
      </c>
      <c r="G348" s="11">
        <v>46020</v>
      </c>
      <c r="H348" s="11">
        <v>46283</v>
      </c>
      <c r="I348" s="47" t="s">
        <v>268</v>
      </c>
      <c r="J348" s="48">
        <v>19142</v>
      </c>
      <c r="K348" s="96" t="s">
        <v>464</v>
      </c>
      <c r="L348" s="45" t="s">
        <v>39</v>
      </c>
      <c r="M348" s="45" t="s">
        <v>126</v>
      </c>
      <c r="N348" s="5" t="s">
        <v>1042</v>
      </c>
      <c r="O348" s="49" t="s">
        <v>42</v>
      </c>
      <c r="P348" s="49"/>
      <c r="Q348" s="49" t="s">
        <v>44</v>
      </c>
      <c r="R348" s="50" t="s">
        <v>1023</v>
      </c>
      <c r="S348" s="58">
        <v>0</v>
      </c>
      <c r="T348" s="58"/>
      <c r="U348" s="91">
        <v>528473838</v>
      </c>
      <c r="V348" s="91"/>
      <c r="W348" s="53">
        <f>PROYECTOS_DIH[[#This Row],[VALOR DESEMBOLSOS PROYECTO]]/PROYECTOS_DIH[[#This Row],[Valor Proyecto Inicial.]]</f>
        <v>0</v>
      </c>
      <c r="X348" s="54">
        <v>0</v>
      </c>
      <c r="Y348" s="54" t="s">
        <v>1180</v>
      </c>
      <c r="Z348" s="92">
        <v>4100</v>
      </c>
      <c r="AA348" s="158" t="s">
        <v>1043</v>
      </c>
      <c r="AB348" s="5" t="s">
        <v>1138</v>
      </c>
      <c r="AC348" s="56" t="s">
        <v>47</v>
      </c>
      <c r="AD348" s="59">
        <v>3.0340707779999998</v>
      </c>
      <c r="AE348" s="59">
        <v>-76.408487039999997</v>
      </c>
      <c r="AF348" s="5" t="s">
        <v>272</v>
      </c>
      <c r="AG348" s="77" t="s">
        <v>75</v>
      </c>
    </row>
    <row r="349" spans="1:33" s="99" customFormat="1" ht="11.4" customHeight="1" x14ac:dyDescent="0.3">
      <c r="A349" s="157" t="s">
        <v>1038</v>
      </c>
      <c r="B349" s="43">
        <v>335</v>
      </c>
      <c r="C349" s="94">
        <v>17113</v>
      </c>
      <c r="D349" s="44">
        <v>2025</v>
      </c>
      <c r="E349" s="44" t="s">
        <v>289</v>
      </c>
      <c r="F349" s="5" t="s">
        <v>1039</v>
      </c>
      <c r="G349" s="11">
        <v>46020</v>
      </c>
      <c r="H349" s="11">
        <v>46283</v>
      </c>
      <c r="I349" s="47" t="s">
        <v>268</v>
      </c>
      <c r="J349" s="48">
        <v>19212</v>
      </c>
      <c r="K349" s="4" t="s">
        <v>269</v>
      </c>
      <c r="L349" s="45" t="s">
        <v>39</v>
      </c>
      <c r="M349" s="45" t="s">
        <v>126</v>
      </c>
      <c r="N349" s="5" t="s">
        <v>1044</v>
      </c>
      <c r="O349" s="49" t="s">
        <v>42</v>
      </c>
      <c r="P349" s="49"/>
      <c r="Q349" s="49" t="s">
        <v>44</v>
      </c>
      <c r="R349" s="50" t="s">
        <v>1023</v>
      </c>
      <c r="S349" s="58">
        <v>0</v>
      </c>
      <c r="T349" s="58"/>
      <c r="U349" s="91">
        <v>524989678</v>
      </c>
      <c r="V349" s="91"/>
      <c r="W349" s="53">
        <f>PROYECTOS_DIH[[#This Row],[VALOR DESEMBOLSOS PROYECTO]]/PROYECTOS_DIH[[#This Row],[Valor Proyecto Inicial.]]</f>
        <v>0</v>
      </c>
      <c r="X349" s="54">
        <v>0</v>
      </c>
      <c r="Y349" s="54" t="s">
        <v>1180</v>
      </c>
      <c r="Z349" s="92">
        <v>6250</v>
      </c>
      <c r="AA349" s="158" t="s">
        <v>1045</v>
      </c>
      <c r="AB349" s="5" t="s">
        <v>1138</v>
      </c>
      <c r="AC349" s="56" t="s">
        <v>47</v>
      </c>
      <c r="AD349" s="59">
        <v>3.1738154569999999</v>
      </c>
      <c r="AE349" s="59">
        <v>-76.261314189999993</v>
      </c>
      <c r="AF349" s="5" t="s">
        <v>272</v>
      </c>
      <c r="AG349" s="77" t="s">
        <v>75</v>
      </c>
    </row>
    <row r="350" spans="1:33" s="99" customFormat="1" ht="11.4" customHeight="1" x14ac:dyDescent="0.3">
      <c r="A350" s="157" t="s">
        <v>1038</v>
      </c>
      <c r="B350" s="43">
        <v>336</v>
      </c>
      <c r="C350" s="94">
        <v>17114</v>
      </c>
      <c r="D350" s="44">
        <v>2025</v>
      </c>
      <c r="E350" s="44" t="s">
        <v>289</v>
      </c>
      <c r="F350" s="5" t="s">
        <v>1039</v>
      </c>
      <c r="G350" s="11">
        <v>46020</v>
      </c>
      <c r="H350" s="11">
        <v>46283</v>
      </c>
      <c r="I350" s="47" t="s">
        <v>268</v>
      </c>
      <c r="J350" s="48">
        <v>19364</v>
      </c>
      <c r="K350" s="5" t="s">
        <v>504</v>
      </c>
      <c r="L350" s="45" t="s">
        <v>39</v>
      </c>
      <c r="M350" s="45" t="s">
        <v>126</v>
      </c>
      <c r="N350" s="5" t="s">
        <v>1046</v>
      </c>
      <c r="O350" s="49" t="s">
        <v>42</v>
      </c>
      <c r="P350" s="49"/>
      <c r="Q350" s="49" t="s">
        <v>44</v>
      </c>
      <c r="R350" s="50" t="s">
        <v>1023</v>
      </c>
      <c r="S350" s="58">
        <v>0</v>
      </c>
      <c r="T350" s="58"/>
      <c r="U350" s="91">
        <v>981329692</v>
      </c>
      <c r="V350" s="91"/>
      <c r="W350" s="53">
        <f>PROYECTOS_DIH[[#This Row],[VALOR DESEMBOLSOS PROYECTO]]/PROYECTOS_DIH[[#This Row],[Valor Proyecto Inicial.]]</f>
        <v>0</v>
      </c>
      <c r="X350" s="54">
        <v>0</v>
      </c>
      <c r="Y350" s="54" t="s">
        <v>1180</v>
      </c>
      <c r="Z350" s="92">
        <v>1150</v>
      </c>
      <c r="AA350" s="158" t="s">
        <v>1047</v>
      </c>
      <c r="AB350" s="5" t="s">
        <v>1138</v>
      </c>
      <c r="AC350" s="56" t="s">
        <v>47</v>
      </c>
      <c r="AD350" s="59">
        <v>2.7778373470000002</v>
      </c>
      <c r="AE350" s="59">
        <v>-76.323878179999994</v>
      </c>
      <c r="AF350" s="5" t="s">
        <v>272</v>
      </c>
      <c r="AG350" s="77" t="s">
        <v>75</v>
      </c>
    </row>
    <row r="351" spans="1:33" s="99" customFormat="1" ht="11.4" customHeight="1" x14ac:dyDescent="0.3">
      <c r="A351" s="157" t="s">
        <v>1038</v>
      </c>
      <c r="B351" s="43">
        <v>337</v>
      </c>
      <c r="C351" s="94">
        <v>17115</v>
      </c>
      <c r="D351" s="44">
        <v>2025</v>
      </c>
      <c r="E351" s="44" t="s">
        <v>289</v>
      </c>
      <c r="F351" s="5" t="s">
        <v>1039</v>
      </c>
      <c r="G351" s="11">
        <v>46020</v>
      </c>
      <c r="H351" s="11">
        <v>46283</v>
      </c>
      <c r="I351" s="47" t="s">
        <v>268</v>
      </c>
      <c r="J351" s="78">
        <v>15514</v>
      </c>
      <c r="K351" s="5" t="s">
        <v>1048</v>
      </c>
      <c r="L351" s="45" t="s">
        <v>39</v>
      </c>
      <c r="M351" s="45" t="s">
        <v>126</v>
      </c>
      <c r="N351" s="5" t="s">
        <v>1049</v>
      </c>
      <c r="O351" s="49" t="s">
        <v>42</v>
      </c>
      <c r="P351" s="49"/>
      <c r="Q351" s="49" t="s">
        <v>170</v>
      </c>
      <c r="R351" s="50" t="s">
        <v>231</v>
      </c>
      <c r="S351" s="58">
        <v>0.23730000000000001</v>
      </c>
      <c r="T351" s="58"/>
      <c r="U351" s="91">
        <v>605726017</v>
      </c>
      <c r="V351" s="91"/>
      <c r="W351" s="53">
        <f>PROYECTOS_DIH[[#This Row],[VALOR DESEMBOLSOS PROYECTO]]/PROYECTOS_DIH[[#This Row],[Valor Proyecto Inicial.]]</f>
        <v>0</v>
      </c>
      <c r="X351" s="54">
        <v>0</v>
      </c>
      <c r="Y351" s="54" t="s">
        <v>1180</v>
      </c>
      <c r="Z351" s="92">
        <v>1760</v>
      </c>
      <c r="AA351" s="158" t="s">
        <v>1050</v>
      </c>
      <c r="AB351" s="5" t="s">
        <v>1138</v>
      </c>
      <c r="AC351" s="56" t="s">
        <v>62</v>
      </c>
      <c r="AD351" s="59">
        <v>5.0952346310000003</v>
      </c>
      <c r="AE351" s="59">
        <v>-73.054310380000004</v>
      </c>
      <c r="AF351" s="5" t="s">
        <v>272</v>
      </c>
      <c r="AG351" s="77" t="s">
        <v>75</v>
      </c>
    </row>
    <row r="352" spans="1:33" s="99" customFormat="1" ht="11.4" customHeight="1" x14ac:dyDescent="0.3">
      <c r="A352" s="157" t="s">
        <v>1038</v>
      </c>
      <c r="B352" s="43">
        <v>339</v>
      </c>
      <c r="C352" s="94">
        <v>17116</v>
      </c>
      <c r="D352" s="44">
        <v>2025</v>
      </c>
      <c r="E352" s="44" t="s">
        <v>289</v>
      </c>
      <c r="F352" s="5" t="s">
        <v>1039</v>
      </c>
      <c r="G352" s="11">
        <v>46020</v>
      </c>
      <c r="H352" s="11">
        <v>46283</v>
      </c>
      <c r="I352" s="47" t="s">
        <v>268</v>
      </c>
      <c r="J352" s="48">
        <v>19743</v>
      </c>
      <c r="K352" s="5" t="s">
        <v>1053</v>
      </c>
      <c r="L352" s="45" t="s">
        <v>39</v>
      </c>
      <c r="M352" s="45" t="s">
        <v>126</v>
      </c>
      <c r="N352" s="5" t="s">
        <v>1054</v>
      </c>
      <c r="O352" s="49" t="s">
        <v>42</v>
      </c>
      <c r="P352" s="49"/>
      <c r="Q352" s="49" t="s">
        <v>170</v>
      </c>
      <c r="R352" s="50" t="s">
        <v>231</v>
      </c>
      <c r="S352" s="58">
        <v>7.9000000000000001E-2</v>
      </c>
      <c r="T352" s="58"/>
      <c r="U352" s="91">
        <v>518558950</v>
      </c>
      <c r="V352" s="91"/>
      <c r="W352" s="53">
        <f>PROYECTOS_DIH[[#This Row],[VALOR DESEMBOLSOS PROYECTO]]/PROYECTOS_DIH[[#This Row],[Valor Proyecto Inicial.]]</f>
        <v>0</v>
      </c>
      <c r="X352" s="54">
        <v>0</v>
      </c>
      <c r="Y352" s="54" t="s">
        <v>1180</v>
      </c>
      <c r="Z352" s="92">
        <v>2100</v>
      </c>
      <c r="AA352" s="158" t="s">
        <v>1055</v>
      </c>
      <c r="AB352" s="5" t="s">
        <v>1138</v>
      </c>
      <c r="AC352" s="56" t="s">
        <v>62</v>
      </c>
      <c r="AD352" s="59">
        <v>2.6118156450000001</v>
      </c>
      <c r="AE352" s="59">
        <v>-76.379570419999993</v>
      </c>
      <c r="AF352" s="5" t="s">
        <v>272</v>
      </c>
      <c r="AG352" s="77" t="s">
        <v>75</v>
      </c>
    </row>
    <row r="353" spans="1:33" s="99" customFormat="1" ht="11.4" customHeight="1" x14ac:dyDescent="0.3">
      <c r="A353" s="157" t="s">
        <v>1038</v>
      </c>
      <c r="B353" s="43">
        <v>340</v>
      </c>
      <c r="C353" s="94">
        <v>17117</v>
      </c>
      <c r="D353" s="44">
        <v>2025</v>
      </c>
      <c r="E353" s="44" t="s">
        <v>289</v>
      </c>
      <c r="F353" s="5" t="s">
        <v>1039</v>
      </c>
      <c r="G353" s="11">
        <v>46020</v>
      </c>
      <c r="H353" s="11">
        <v>46283</v>
      </c>
      <c r="I353" s="47" t="s">
        <v>268</v>
      </c>
      <c r="J353" s="48">
        <v>19743</v>
      </c>
      <c r="K353" s="5" t="s">
        <v>1053</v>
      </c>
      <c r="L353" s="45" t="s">
        <v>39</v>
      </c>
      <c r="M353" s="45" t="s">
        <v>126</v>
      </c>
      <c r="N353" s="5" t="s">
        <v>1056</v>
      </c>
      <c r="O353" s="49" t="s">
        <v>42</v>
      </c>
      <c r="P353" s="49"/>
      <c r="Q353" s="49" t="s">
        <v>170</v>
      </c>
      <c r="R353" s="50" t="s">
        <v>231</v>
      </c>
      <c r="S353" s="58">
        <v>0.18060000000000001</v>
      </c>
      <c r="T353" s="58"/>
      <c r="U353" s="91">
        <v>552224557</v>
      </c>
      <c r="V353" s="91"/>
      <c r="W353" s="53">
        <f>PROYECTOS_DIH[[#This Row],[VALOR DESEMBOLSOS PROYECTO]]/PROYECTOS_DIH[[#This Row],[Valor Proyecto Inicial.]]</f>
        <v>0</v>
      </c>
      <c r="X353" s="54">
        <v>0</v>
      </c>
      <c r="Y353" s="54" t="s">
        <v>1180</v>
      </c>
      <c r="Z353" s="92">
        <v>150</v>
      </c>
      <c r="AA353" s="158" t="s">
        <v>1057</v>
      </c>
      <c r="AB353" s="5" t="s">
        <v>1138</v>
      </c>
      <c r="AC353" s="56" t="s">
        <v>62</v>
      </c>
      <c r="AD353" s="59">
        <v>2.6118156450000001</v>
      </c>
      <c r="AE353" s="59">
        <v>-76.379570419999993</v>
      </c>
      <c r="AF353" s="5" t="s">
        <v>272</v>
      </c>
      <c r="AG353" s="77" t="s">
        <v>75</v>
      </c>
    </row>
    <row r="354" spans="1:33" s="99" customFormat="1" ht="11.4" customHeight="1" x14ac:dyDescent="0.3">
      <c r="A354" s="157" t="s">
        <v>1038</v>
      </c>
      <c r="B354" s="43">
        <v>341</v>
      </c>
      <c r="C354" s="94">
        <v>17118</v>
      </c>
      <c r="D354" s="44">
        <v>2025</v>
      </c>
      <c r="E354" s="44" t="s">
        <v>289</v>
      </c>
      <c r="F354" s="5" t="s">
        <v>1039</v>
      </c>
      <c r="G354" s="11">
        <v>46020</v>
      </c>
      <c r="H354" s="11">
        <v>46283</v>
      </c>
      <c r="I354" s="47" t="s">
        <v>268</v>
      </c>
      <c r="J354" s="48">
        <v>19743</v>
      </c>
      <c r="K354" s="5" t="s">
        <v>1053</v>
      </c>
      <c r="L354" s="45" t="s">
        <v>39</v>
      </c>
      <c r="M354" s="45" t="s">
        <v>126</v>
      </c>
      <c r="N354" s="5" t="s">
        <v>1058</v>
      </c>
      <c r="O354" s="49" t="s">
        <v>42</v>
      </c>
      <c r="P354" s="49"/>
      <c r="Q354" s="49" t="s">
        <v>170</v>
      </c>
      <c r="R354" s="50" t="s">
        <v>231</v>
      </c>
      <c r="S354" s="58">
        <v>0.20250000000000001</v>
      </c>
      <c r="T354" s="58"/>
      <c r="U354" s="91">
        <v>554376099</v>
      </c>
      <c r="V354" s="91"/>
      <c r="W354" s="53">
        <f>PROYECTOS_DIH[[#This Row],[VALOR DESEMBOLSOS PROYECTO]]/PROYECTOS_DIH[[#This Row],[Valor Proyecto Inicial.]]</f>
        <v>0</v>
      </c>
      <c r="X354" s="54">
        <v>0</v>
      </c>
      <c r="Y354" s="54" t="s">
        <v>1180</v>
      </c>
      <c r="Z354" s="92">
        <v>1850</v>
      </c>
      <c r="AA354" s="158" t="s">
        <v>1059</v>
      </c>
      <c r="AB354" s="5" t="s">
        <v>1138</v>
      </c>
      <c r="AC354" s="56" t="s">
        <v>62</v>
      </c>
      <c r="AD354" s="59">
        <v>2.6118156450000001</v>
      </c>
      <c r="AE354" s="59">
        <v>-76.379570419999993</v>
      </c>
      <c r="AF354" s="5" t="s">
        <v>272</v>
      </c>
      <c r="AG354" s="77" t="s">
        <v>75</v>
      </c>
    </row>
    <row r="355" spans="1:33" s="99" customFormat="1" ht="11.4" customHeight="1" x14ac:dyDescent="0.3">
      <c r="A355" s="157" t="s">
        <v>1038</v>
      </c>
      <c r="B355" s="43">
        <v>343</v>
      </c>
      <c r="C355" s="94">
        <v>17119</v>
      </c>
      <c r="D355" s="44">
        <v>2025</v>
      </c>
      <c r="E355" s="44" t="s">
        <v>289</v>
      </c>
      <c r="F355" s="5" t="s">
        <v>1039</v>
      </c>
      <c r="G355" s="11">
        <v>46020</v>
      </c>
      <c r="H355" s="11">
        <v>46283</v>
      </c>
      <c r="I355" s="47" t="s">
        <v>268</v>
      </c>
      <c r="J355" s="48">
        <v>19821</v>
      </c>
      <c r="K355" s="97" t="s">
        <v>1063</v>
      </c>
      <c r="L355" s="45" t="s">
        <v>39</v>
      </c>
      <c r="M355" s="45" t="s">
        <v>126</v>
      </c>
      <c r="N355" s="5" t="s">
        <v>1064</v>
      </c>
      <c r="O355" s="49" t="s">
        <v>42</v>
      </c>
      <c r="P355" s="49"/>
      <c r="Q355" s="49" t="s">
        <v>44</v>
      </c>
      <c r="R355" s="50" t="s">
        <v>1023</v>
      </c>
      <c r="S355" s="58">
        <v>0</v>
      </c>
      <c r="T355" s="58"/>
      <c r="U355" s="91">
        <v>530026673</v>
      </c>
      <c r="V355" s="91"/>
      <c r="W355" s="53">
        <f>PROYECTOS_DIH[[#This Row],[VALOR DESEMBOLSOS PROYECTO]]/PROYECTOS_DIH[[#This Row],[Valor Proyecto Inicial.]]</f>
        <v>0</v>
      </c>
      <c r="X355" s="54">
        <v>0</v>
      </c>
      <c r="Y355" s="54" t="s">
        <v>1180</v>
      </c>
      <c r="Z355" s="92">
        <v>1500</v>
      </c>
      <c r="AA355" s="158" t="s">
        <v>1065</v>
      </c>
      <c r="AB355" s="5" t="s">
        <v>1138</v>
      </c>
      <c r="AC355" s="56" t="s">
        <v>47</v>
      </c>
      <c r="AD355" s="59">
        <v>2.951450409</v>
      </c>
      <c r="AE355" s="59">
        <v>-76.271127210000003</v>
      </c>
      <c r="AF355" s="5" t="s">
        <v>272</v>
      </c>
      <c r="AG355" s="77" t="s">
        <v>75</v>
      </c>
    </row>
    <row r="356" spans="1:33" s="99" customFormat="1" ht="11.4" customHeight="1" x14ac:dyDescent="0.3">
      <c r="A356" s="157" t="s">
        <v>1038</v>
      </c>
      <c r="B356" s="43">
        <v>344</v>
      </c>
      <c r="C356" s="94">
        <v>17120</v>
      </c>
      <c r="D356" s="44">
        <v>2025</v>
      </c>
      <c r="E356" s="44" t="s">
        <v>289</v>
      </c>
      <c r="F356" s="5" t="s">
        <v>1039</v>
      </c>
      <c r="G356" s="11">
        <v>46020</v>
      </c>
      <c r="H356" s="11">
        <v>46283</v>
      </c>
      <c r="I356" s="47" t="s">
        <v>268</v>
      </c>
      <c r="J356" s="48">
        <v>19821</v>
      </c>
      <c r="K356" s="97" t="s">
        <v>517</v>
      </c>
      <c r="L356" s="45" t="s">
        <v>39</v>
      </c>
      <c r="M356" s="45" t="s">
        <v>126</v>
      </c>
      <c r="N356" s="5" t="s">
        <v>1067</v>
      </c>
      <c r="O356" s="49" t="s">
        <v>42</v>
      </c>
      <c r="P356" s="49"/>
      <c r="Q356" s="49" t="s">
        <v>44</v>
      </c>
      <c r="R356" s="50" t="s">
        <v>1023</v>
      </c>
      <c r="S356" s="58">
        <v>0</v>
      </c>
      <c r="T356" s="58"/>
      <c r="U356" s="91">
        <v>566842156</v>
      </c>
      <c r="V356" s="91"/>
      <c r="W356" s="53">
        <f>PROYECTOS_DIH[[#This Row],[VALOR DESEMBOLSOS PROYECTO]]/PROYECTOS_DIH[[#This Row],[Valor Proyecto Inicial.]]</f>
        <v>0</v>
      </c>
      <c r="X356" s="54">
        <v>0</v>
      </c>
      <c r="Y356" s="54" t="s">
        <v>1180</v>
      </c>
      <c r="Z356" s="92">
        <v>1800</v>
      </c>
      <c r="AA356" s="158" t="s">
        <v>1068</v>
      </c>
      <c r="AB356" s="5" t="s">
        <v>1138</v>
      </c>
      <c r="AC356" s="56" t="s">
        <v>47</v>
      </c>
      <c r="AD356" s="59">
        <v>2.951450409</v>
      </c>
      <c r="AE356" s="59">
        <v>-76.271127210000003</v>
      </c>
      <c r="AF356" s="5" t="s">
        <v>272</v>
      </c>
      <c r="AG356" s="77" t="s">
        <v>75</v>
      </c>
    </row>
    <row r="357" spans="1:33" s="99" customFormat="1" ht="11.4" customHeight="1" x14ac:dyDescent="0.3">
      <c r="A357" s="157" t="s">
        <v>1038</v>
      </c>
      <c r="B357" s="43">
        <v>346</v>
      </c>
      <c r="C357" s="94">
        <v>17121</v>
      </c>
      <c r="D357" s="44">
        <v>2025</v>
      </c>
      <c r="E357" s="44" t="s">
        <v>289</v>
      </c>
      <c r="F357" s="5" t="s">
        <v>1039</v>
      </c>
      <c r="G357" s="11">
        <v>46020</v>
      </c>
      <c r="H357" s="11">
        <v>46283</v>
      </c>
      <c r="I357" s="47" t="s">
        <v>268</v>
      </c>
      <c r="J357" s="48">
        <v>19824</v>
      </c>
      <c r="K357" s="5" t="s">
        <v>1066</v>
      </c>
      <c r="L357" s="45" t="s">
        <v>39</v>
      </c>
      <c r="M357" s="45" t="s">
        <v>126</v>
      </c>
      <c r="N357" s="5" t="s">
        <v>1071</v>
      </c>
      <c r="O357" s="49" t="s">
        <v>42</v>
      </c>
      <c r="P357" s="49"/>
      <c r="Q357" s="49" t="s">
        <v>170</v>
      </c>
      <c r="R357" s="50" t="s">
        <v>231</v>
      </c>
      <c r="S357" s="58">
        <v>0.21</v>
      </c>
      <c r="T357" s="58"/>
      <c r="U357" s="91">
        <v>584058129</v>
      </c>
      <c r="V357" s="91"/>
      <c r="W357" s="53">
        <f>PROYECTOS_DIH[[#This Row],[VALOR DESEMBOLSOS PROYECTO]]/PROYECTOS_DIH[[#This Row],[Valor Proyecto Inicial.]]</f>
        <v>0</v>
      </c>
      <c r="X357" s="54">
        <v>0</v>
      </c>
      <c r="Y357" s="54" t="s">
        <v>1180</v>
      </c>
      <c r="Z357" s="92">
        <v>1600</v>
      </c>
      <c r="AA357" s="158" t="s">
        <v>1072</v>
      </c>
      <c r="AB357" s="5" t="s">
        <v>1138</v>
      </c>
      <c r="AC357" s="56" t="s">
        <v>62</v>
      </c>
      <c r="AD357" s="59">
        <v>2.5102291929999998</v>
      </c>
      <c r="AE357" s="59">
        <v>-76.40244251</v>
      </c>
      <c r="AF357" s="5" t="s">
        <v>272</v>
      </c>
      <c r="AG357" s="77" t="s">
        <v>75</v>
      </c>
    </row>
    <row r="358" spans="1:33" s="99" customFormat="1" ht="11.4" customHeight="1" x14ac:dyDescent="0.3">
      <c r="A358" s="157" t="s">
        <v>1038</v>
      </c>
      <c r="B358" s="43">
        <v>348</v>
      </c>
      <c r="C358" s="94">
        <v>17122</v>
      </c>
      <c r="D358" s="44">
        <v>2025</v>
      </c>
      <c r="E358" s="44" t="s">
        <v>289</v>
      </c>
      <c r="F358" s="5" t="s">
        <v>1039</v>
      </c>
      <c r="G358" s="11">
        <v>46020</v>
      </c>
      <c r="H358" s="11">
        <v>46283</v>
      </c>
      <c r="I358" s="47" t="s">
        <v>166</v>
      </c>
      <c r="J358" s="48">
        <v>41396</v>
      </c>
      <c r="K358" s="140" t="s">
        <v>767</v>
      </c>
      <c r="L358" s="45" t="s">
        <v>39</v>
      </c>
      <c r="M358" s="45" t="s">
        <v>126</v>
      </c>
      <c r="N358" s="5" t="s">
        <v>1074</v>
      </c>
      <c r="O358" s="49" t="s">
        <v>42</v>
      </c>
      <c r="P358" s="49"/>
      <c r="Q358" s="49" t="s">
        <v>170</v>
      </c>
      <c r="R358" s="50" t="s">
        <v>231</v>
      </c>
      <c r="S358" s="58">
        <v>9.2999999999999992E-3</v>
      </c>
      <c r="T358" s="58"/>
      <c r="U358" s="91">
        <v>527985885</v>
      </c>
      <c r="V358" s="91"/>
      <c r="W358" s="53">
        <f>PROYECTOS_DIH[[#This Row],[VALOR DESEMBOLSOS PROYECTO]]/PROYECTOS_DIH[[#This Row],[Valor Proyecto Inicial.]]</f>
        <v>0</v>
      </c>
      <c r="X358" s="54">
        <v>0</v>
      </c>
      <c r="Y358" s="54" t="s">
        <v>1180</v>
      </c>
      <c r="Z358" s="92">
        <v>1400</v>
      </c>
      <c r="AA358" s="158" t="s">
        <v>1075</v>
      </c>
      <c r="AB358" s="5" t="s">
        <v>1155</v>
      </c>
      <c r="AC358" s="56" t="s">
        <v>62</v>
      </c>
      <c r="AD358" s="59">
        <v>2.3896466940000001</v>
      </c>
      <c r="AE358" s="59">
        <v>-75.891451309999994</v>
      </c>
      <c r="AF358" s="5" t="s">
        <v>172</v>
      </c>
      <c r="AG358" s="81" t="s">
        <v>80</v>
      </c>
    </row>
    <row r="359" spans="1:33" s="99" customFormat="1" ht="11.4" customHeight="1" x14ac:dyDescent="0.3">
      <c r="A359" s="7" t="s">
        <v>114</v>
      </c>
      <c r="B359" s="43">
        <v>342</v>
      </c>
      <c r="C359" s="94">
        <v>17123</v>
      </c>
      <c r="D359" s="44">
        <v>2025</v>
      </c>
      <c r="E359" s="44" t="s">
        <v>115</v>
      </c>
      <c r="F359" s="45" t="s">
        <v>1060</v>
      </c>
      <c r="G359" s="46">
        <v>45968</v>
      </c>
      <c r="H359" s="46">
        <v>46721</v>
      </c>
      <c r="I359" s="47" t="s">
        <v>68</v>
      </c>
      <c r="J359" s="48">
        <v>76823</v>
      </c>
      <c r="K359" s="45" t="s">
        <v>278</v>
      </c>
      <c r="L359" s="8" t="s">
        <v>70</v>
      </c>
      <c r="M359" s="45" t="s">
        <v>71</v>
      </c>
      <c r="N359" s="45" t="s">
        <v>1061</v>
      </c>
      <c r="O359" s="45" t="s">
        <v>119</v>
      </c>
      <c r="P359" s="45"/>
      <c r="Q359" s="2" t="s">
        <v>120</v>
      </c>
      <c r="R359" s="95" t="s">
        <v>121</v>
      </c>
      <c r="S359" s="51">
        <v>0</v>
      </c>
      <c r="T359" s="51"/>
      <c r="U359" s="91">
        <v>0</v>
      </c>
      <c r="V359" s="91"/>
      <c r="W359" s="53" t="e">
        <f>PROYECTOS_DIH[[#This Row],[VALOR DESEMBOLSOS PROYECTO]]/PROYECTOS_DIH[[#This Row],[Valor Proyecto Inicial.]]</f>
        <v>#DIV/0!</v>
      </c>
      <c r="X359" s="54">
        <v>0</v>
      </c>
      <c r="Y359" s="54" t="s">
        <v>1180</v>
      </c>
      <c r="Z359" s="55"/>
      <c r="AA359" s="57" t="s">
        <v>1062</v>
      </c>
      <c r="AB359" s="5" t="s">
        <v>1137</v>
      </c>
      <c r="AC359" s="56" t="s">
        <v>62</v>
      </c>
      <c r="AD359" s="59">
        <v>4.6080845459999997</v>
      </c>
      <c r="AE359" s="59">
        <v>-76.076853499999999</v>
      </c>
      <c r="AF359" s="5" t="s">
        <v>74</v>
      </c>
      <c r="AG359" s="77" t="s">
        <v>75</v>
      </c>
    </row>
    <row r="360" spans="1:33" s="99" customFormat="1" ht="11.4" customHeight="1" x14ac:dyDescent="0.3">
      <c r="A360" s="1" t="s">
        <v>34</v>
      </c>
      <c r="B360" s="43">
        <v>349</v>
      </c>
      <c r="C360" s="94">
        <v>17123</v>
      </c>
      <c r="D360" s="19">
        <v>2026</v>
      </c>
      <c r="E360" s="44" t="s">
        <v>35</v>
      </c>
      <c r="F360" s="45" t="s">
        <v>36</v>
      </c>
      <c r="G360" s="46">
        <v>45653</v>
      </c>
      <c r="H360" s="46">
        <v>46441</v>
      </c>
      <c r="I360" s="111" t="s">
        <v>68</v>
      </c>
      <c r="J360" s="48">
        <v>76823</v>
      </c>
      <c r="K360" s="111" t="s">
        <v>278</v>
      </c>
      <c r="L360" s="112" t="s">
        <v>70</v>
      </c>
      <c r="M360" s="111" t="s">
        <v>71</v>
      </c>
      <c r="N360" s="111" t="s">
        <v>1061</v>
      </c>
      <c r="O360" s="45" t="s">
        <v>42</v>
      </c>
      <c r="P360" s="49"/>
      <c r="Q360" s="2" t="s">
        <v>44</v>
      </c>
      <c r="R360" s="2" t="s">
        <v>214</v>
      </c>
      <c r="S360" s="51">
        <v>0</v>
      </c>
      <c r="T360" s="51"/>
      <c r="U360" s="113">
        <v>4719731699.4799995</v>
      </c>
      <c r="V360" s="113"/>
      <c r="W360" s="79">
        <f>PROYECTOS_DIH[[#This Row],[VALOR DESEMBOLSOS PROYECTO]]/PROYECTOS_DIH[[#This Row],[Valor Proyecto Inicial.]]</f>
        <v>0</v>
      </c>
      <c r="X360" s="54">
        <v>0</v>
      </c>
      <c r="Y360" s="54" t="s">
        <v>1180</v>
      </c>
      <c r="Z360" s="55"/>
      <c r="AA360" s="57" t="s">
        <v>1076</v>
      </c>
      <c r="AB360" s="5" t="s">
        <v>1137</v>
      </c>
      <c r="AC360" s="56" t="s">
        <v>62</v>
      </c>
      <c r="AD360" s="59">
        <v>4.6080845459999997</v>
      </c>
      <c r="AE360" s="59">
        <v>-76.076853499999999</v>
      </c>
      <c r="AF360" s="5" t="s">
        <v>74</v>
      </c>
      <c r="AG360" s="77" t="s">
        <v>75</v>
      </c>
    </row>
    <row r="361" spans="1:33" s="99" customFormat="1" ht="11.4" customHeight="1" x14ac:dyDescent="0.3">
      <c r="A361" s="7" t="s">
        <v>114</v>
      </c>
      <c r="B361" s="43">
        <v>60</v>
      </c>
      <c r="C361" s="94">
        <v>17124</v>
      </c>
      <c r="D361" s="44">
        <v>2025</v>
      </c>
      <c r="E361" s="44" t="s">
        <v>86</v>
      </c>
      <c r="F361" s="45" t="s">
        <v>354</v>
      </c>
      <c r="G361" s="46">
        <v>45968</v>
      </c>
      <c r="H361" s="46">
        <v>46721</v>
      </c>
      <c r="I361" s="45" t="s">
        <v>88</v>
      </c>
      <c r="J361" s="98">
        <v>52079</v>
      </c>
      <c r="K361" s="45" t="s">
        <v>258</v>
      </c>
      <c r="L361" s="8" t="s">
        <v>70</v>
      </c>
      <c r="M361" s="45" t="s">
        <v>71</v>
      </c>
      <c r="N361" s="45" t="s">
        <v>355</v>
      </c>
      <c r="O361" s="45" t="s">
        <v>119</v>
      </c>
      <c r="P361" s="45"/>
      <c r="Q361" s="45" t="s">
        <v>120</v>
      </c>
      <c r="R361" s="95" t="s">
        <v>121</v>
      </c>
      <c r="S361" s="51">
        <v>0</v>
      </c>
      <c r="T361" s="51"/>
      <c r="U361" s="91">
        <v>0</v>
      </c>
      <c r="V361" s="91"/>
      <c r="W361" s="53" t="e">
        <f>PROYECTOS_DIH[[#This Row],[VALOR DESEMBOLSOS PROYECTO]]/PROYECTOS_DIH[[#This Row],[Valor Proyecto Inicial.]]</f>
        <v>#DIV/0!</v>
      </c>
      <c r="X361" s="54">
        <v>0</v>
      </c>
      <c r="Y361" s="54" t="s">
        <v>1180</v>
      </c>
      <c r="Z361" s="55"/>
      <c r="AA361" s="57" t="s">
        <v>356</v>
      </c>
      <c r="AB361" s="5" t="s">
        <v>1145</v>
      </c>
      <c r="AC361" s="56" t="s">
        <v>47</v>
      </c>
      <c r="AD361" s="59">
        <v>1.670345194</v>
      </c>
      <c r="AE361" s="59">
        <v>-78.139894929999997</v>
      </c>
      <c r="AF361" s="5" t="s">
        <v>91</v>
      </c>
      <c r="AG361" s="77" t="s">
        <v>75</v>
      </c>
    </row>
    <row r="362" spans="1:33" s="99" customFormat="1" ht="11.4" customHeight="1" x14ac:dyDescent="0.3">
      <c r="A362" s="1" t="s">
        <v>34</v>
      </c>
      <c r="B362" s="43">
        <v>350</v>
      </c>
      <c r="C362" s="94">
        <v>17124</v>
      </c>
      <c r="D362" s="19">
        <v>2026</v>
      </c>
      <c r="E362" s="44" t="s">
        <v>35</v>
      </c>
      <c r="F362" s="45" t="s">
        <v>36</v>
      </c>
      <c r="G362" s="46">
        <v>45653</v>
      </c>
      <c r="H362" s="46">
        <v>46441</v>
      </c>
      <c r="I362" s="112" t="s">
        <v>88</v>
      </c>
      <c r="J362" s="98">
        <v>52079</v>
      </c>
      <c r="K362" s="112" t="s">
        <v>258</v>
      </c>
      <c r="L362" s="112" t="s">
        <v>70</v>
      </c>
      <c r="M362" s="112" t="s">
        <v>71</v>
      </c>
      <c r="N362" s="112" t="s">
        <v>355</v>
      </c>
      <c r="O362" s="125" t="s">
        <v>42</v>
      </c>
      <c r="P362" s="49"/>
      <c r="Q362" s="45" t="s">
        <v>44</v>
      </c>
      <c r="R362" s="125" t="s">
        <v>214</v>
      </c>
      <c r="S362" s="51">
        <v>0</v>
      </c>
      <c r="T362" s="51"/>
      <c r="U362" s="113">
        <v>3499368582.9699998</v>
      </c>
      <c r="V362" s="113"/>
      <c r="W362" s="79">
        <f>PROYECTOS_DIH[[#This Row],[VALOR DESEMBOLSOS PROYECTO]]/PROYECTOS_DIH[[#This Row],[Valor Proyecto Inicial.]]</f>
        <v>0</v>
      </c>
      <c r="X362" s="54"/>
      <c r="Y362" s="54" t="s">
        <v>1180</v>
      </c>
      <c r="Z362" s="55"/>
      <c r="AA362" s="57" t="s">
        <v>1077</v>
      </c>
      <c r="AB362" s="5" t="s">
        <v>1145</v>
      </c>
      <c r="AC362" s="56" t="s">
        <v>47</v>
      </c>
      <c r="AD362" s="59">
        <v>1.670345194</v>
      </c>
      <c r="AE362" s="59">
        <v>-78.139894929999997</v>
      </c>
      <c r="AF362" s="5" t="s">
        <v>91</v>
      </c>
      <c r="AG362" s="77" t="s">
        <v>75</v>
      </c>
    </row>
    <row r="363" spans="1:33" s="99" customFormat="1" ht="11.4" customHeight="1" x14ac:dyDescent="0.3">
      <c r="A363" s="1" t="s">
        <v>34</v>
      </c>
      <c r="B363" s="43">
        <v>351</v>
      </c>
      <c r="C363" s="191">
        <v>17125</v>
      </c>
      <c r="D363" s="19">
        <v>2026</v>
      </c>
      <c r="E363" s="44" t="s">
        <v>35</v>
      </c>
      <c r="F363" s="45" t="s">
        <v>36</v>
      </c>
      <c r="G363" s="46">
        <v>45653</v>
      </c>
      <c r="H363" s="46">
        <v>46441</v>
      </c>
      <c r="I363" s="112" t="s">
        <v>88</v>
      </c>
      <c r="J363" s="48">
        <v>52227</v>
      </c>
      <c r="K363" s="112" t="s">
        <v>674</v>
      </c>
      <c r="L363" s="112" t="s">
        <v>70</v>
      </c>
      <c r="M363" s="112" t="s">
        <v>962</v>
      </c>
      <c r="N363" s="112" t="s">
        <v>1078</v>
      </c>
      <c r="O363" s="125" t="s">
        <v>42</v>
      </c>
      <c r="P363" s="49"/>
      <c r="Q363" s="45" t="s">
        <v>44</v>
      </c>
      <c r="R363" s="125" t="s">
        <v>214</v>
      </c>
      <c r="S363" s="51">
        <v>0</v>
      </c>
      <c r="T363" s="51"/>
      <c r="U363" s="113">
        <v>3338373658.0799999</v>
      </c>
      <c r="V363" s="113"/>
      <c r="W363" s="79">
        <f>PROYECTOS_DIH[[#This Row],[VALOR DESEMBOLSOS PROYECTO]]/PROYECTOS_DIH[[#This Row],[Valor Proyecto Inicial.]]</f>
        <v>0</v>
      </c>
      <c r="X363" s="54"/>
      <c r="Y363" s="54" t="s">
        <v>1180</v>
      </c>
      <c r="Z363" s="92">
        <v>100406</v>
      </c>
      <c r="AA363" s="57" t="s">
        <v>215</v>
      </c>
      <c r="AB363" s="5" t="s">
        <v>1145</v>
      </c>
      <c r="AC363" s="56" t="s">
        <v>62</v>
      </c>
      <c r="AD363" s="59">
        <v>0.90618536100000002</v>
      </c>
      <c r="AE363" s="59">
        <v>-77.792276619999996</v>
      </c>
      <c r="AF363" s="5" t="s">
        <v>91</v>
      </c>
      <c r="AG363" s="77" t="s">
        <v>75</v>
      </c>
    </row>
    <row r="364" spans="1:33" s="99" customFormat="1" ht="11.4" customHeight="1" x14ac:dyDescent="0.3">
      <c r="A364" s="1" t="s">
        <v>34</v>
      </c>
      <c r="B364" s="43">
        <v>352</v>
      </c>
      <c r="C364" s="191">
        <v>17128</v>
      </c>
      <c r="D364" s="19">
        <v>2026</v>
      </c>
      <c r="E364" s="44" t="s">
        <v>35</v>
      </c>
      <c r="F364" s="45" t="s">
        <v>36</v>
      </c>
      <c r="G364" s="46">
        <v>45653</v>
      </c>
      <c r="H364" s="46">
        <v>46441</v>
      </c>
      <c r="I364" s="111" t="s">
        <v>88</v>
      </c>
      <c r="J364" s="48">
        <v>52001</v>
      </c>
      <c r="K364" s="111" t="s">
        <v>136</v>
      </c>
      <c r="L364" s="112" t="s">
        <v>39</v>
      </c>
      <c r="M364" s="111" t="s">
        <v>1079</v>
      </c>
      <c r="N364" s="111" t="s">
        <v>1080</v>
      </c>
      <c r="O364" s="45" t="s">
        <v>42</v>
      </c>
      <c r="P364" s="49"/>
      <c r="Q364" s="45" t="s">
        <v>44</v>
      </c>
      <c r="R364" s="2" t="s">
        <v>214</v>
      </c>
      <c r="S364" s="51">
        <v>0</v>
      </c>
      <c r="T364" s="51"/>
      <c r="U364" s="113">
        <v>4769475266.75</v>
      </c>
      <c r="V364" s="113"/>
      <c r="W364" s="79">
        <f>PROYECTOS_DIH[[#This Row],[VALOR DESEMBOLSOS PROYECTO]]/PROYECTOS_DIH[[#This Row],[Valor Proyecto Inicial.]]</f>
        <v>0</v>
      </c>
      <c r="X364" s="54"/>
      <c r="Y364" s="54" t="s">
        <v>1180</v>
      </c>
      <c r="Z364" s="55"/>
      <c r="AA364" s="57" t="s">
        <v>215</v>
      </c>
      <c r="AB364" s="5" t="s">
        <v>1145</v>
      </c>
      <c r="AC364" s="56" t="s">
        <v>62</v>
      </c>
      <c r="AD364" s="59">
        <v>1.212124365</v>
      </c>
      <c r="AE364" s="59">
        <v>-77.278576349999994</v>
      </c>
      <c r="AF364" s="5" t="s">
        <v>91</v>
      </c>
      <c r="AG364" s="77" t="s">
        <v>75</v>
      </c>
    </row>
    <row r="365" spans="1:33" s="99" customFormat="1" ht="11.4" customHeight="1" x14ac:dyDescent="0.3">
      <c r="A365" s="1" t="s">
        <v>34</v>
      </c>
      <c r="B365" s="43">
        <v>353</v>
      </c>
      <c r="C365" s="94">
        <v>17129</v>
      </c>
      <c r="D365" s="19">
        <v>2026</v>
      </c>
      <c r="E365" s="44" t="s">
        <v>35</v>
      </c>
      <c r="F365" s="45" t="s">
        <v>36</v>
      </c>
      <c r="G365" s="46">
        <v>45653</v>
      </c>
      <c r="H365" s="46">
        <v>46441</v>
      </c>
      <c r="I365" s="112" t="s">
        <v>68</v>
      </c>
      <c r="J365" s="48">
        <v>76275</v>
      </c>
      <c r="K365" s="112" t="s">
        <v>82</v>
      </c>
      <c r="L365" s="112" t="s">
        <v>55</v>
      </c>
      <c r="M365" s="112" t="s">
        <v>1081</v>
      </c>
      <c r="N365" s="112" t="s">
        <v>1082</v>
      </c>
      <c r="O365" s="45" t="s">
        <v>42</v>
      </c>
      <c r="P365" s="49"/>
      <c r="Q365" s="45" t="s">
        <v>44</v>
      </c>
      <c r="R365" s="125" t="s">
        <v>214</v>
      </c>
      <c r="S365" s="51">
        <v>0</v>
      </c>
      <c r="T365" s="51"/>
      <c r="U365" s="113">
        <v>8143229552.3999996</v>
      </c>
      <c r="V365" s="113"/>
      <c r="W365" s="79">
        <f>PROYECTOS_DIH[[#This Row],[VALOR DESEMBOLSOS PROYECTO]]/PROYECTOS_DIH[[#This Row],[Valor Proyecto Inicial.]]</f>
        <v>0</v>
      </c>
      <c r="X365" s="54">
        <v>0</v>
      </c>
      <c r="Y365" s="54" t="s">
        <v>1180</v>
      </c>
      <c r="Z365" s="69">
        <v>12000</v>
      </c>
      <c r="AA365" s="57" t="s">
        <v>1083</v>
      </c>
      <c r="AB365" s="5" t="s">
        <v>1137</v>
      </c>
      <c r="AC365" s="56" t="s">
        <v>47</v>
      </c>
      <c r="AD365" s="59">
        <v>3.3239181059999998</v>
      </c>
      <c r="AE365" s="59">
        <v>-76.234501739999999</v>
      </c>
      <c r="AF365" s="5" t="s">
        <v>74</v>
      </c>
      <c r="AG365" s="77" t="s">
        <v>75</v>
      </c>
    </row>
    <row r="366" spans="1:33" s="99" customFormat="1" ht="11.4" customHeight="1" x14ac:dyDescent="0.3">
      <c r="A366" s="9" t="s">
        <v>307</v>
      </c>
      <c r="B366" s="43">
        <v>354</v>
      </c>
      <c r="C366" s="94">
        <v>17131</v>
      </c>
      <c r="D366" s="44">
        <v>2025</v>
      </c>
      <c r="E366" s="44" t="s">
        <v>308</v>
      </c>
      <c r="F366" s="45" t="s">
        <v>309</v>
      </c>
      <c r="G366" s="46">
        <v>41271</v>
      </c>
      <c r="H366" s="46">
        <v>46538</v>
      </c>
      <c r="I366" s="8" t="s">
        <v>37</v>
      </c>
      <c r="J366" s="78">
        <v>27073</v>
      </c>
      <c r="K366" s="8" t="s">
        <v>582</v>
      </c>
      <c r="L366" s="45" t="s">
        <v>39</v>
      </c>
      <c r="M366" s="45" t="s">
        <v>126</v>
      </c>
      <c r="N366" s="83" t="s">
        <v>1084</v>
      </c>
      <c r="O366" s="49" t="s">
        <v>42</v>
      </c>
      <c r="P366" s="49"/>
      <c r="Q366" s="152" t="s">
        <v>44</v>
      </c>
      <c r="R366" s="88" t="s">
        <v>1023</v>
      </c>
      <c r="S366" s="84">
        <v>0</v>
      </c>
      <c r="T366" s="84"/>
      <c r="U366" s="89">
        <v>3500000000</v>
      </c>
      <c r="V366" s="89"/>
      <c r="W366" s="79">
        <f>PROYECTOS_DIH[[#This Row],[VALOR DESEMBOLSOS PROYECTO]]/PROYECTOS_DIH[[#This Row],[Valor Proyecto Inicial.]]</f>
        <v>0</v>
      </c>
      <c r="X366" s="54">
        <v>0</v>
      </c>
      <c r="Y366" s="54" t="s">
        <v>1180</v>
      </c>
      <c r="Z366" s="86"/>
      <c r="AA366" s="156" t="s">
        <v>1085</v>
      </c>
      <c r="AB366" s="5" t="s">
        <v>1153</v>
      </c>
      <c r="AC366" s="56" t="s">
        <v>96</v>
      </c>
      <c r="AD366" s="59">
        <v>5.4105549599999998</v>
      </c>
      <c r="AE366" s="59">
        <v>-76.415292989999998</v>
      </c>
      <c r="AF366" s="5" t="s">
        <v>330</v>
      </c>
      <c r="AG366" s="77" t="s">
        <v>75</v>
      </c>
    </row>
    <row r="367" spans="1:33" s="99" customFormat="1" ht="11.4" customHeight="1" x14ac:dyDescent="0.3">
      <c r="A367" s="1" t="s">
        <v>34</v>
      </c>
      <c r="B367" s="43">
        <v>355</v>
      </c>
      <c r="C367" s="191">
        <v>17141</v>
      </c>
      <c r="D367" s="19">
        <v>2026</v>
      </c>
      <c r="E367" s="44" t="s">
        <v>35</v>
      </c>
      <c r="F367" s="45" t="s">
        <v>36</v>
      </c>
      <c r="G367" s="46">
        <v>45653</v>
      </c>
      <c r="H367" s="46">
        <v>46441</v>
      </c>
      <c r="I367" s="111" t="s">
        <v>141</v>
      </c>
      <c r="J367" s="98">
        <v>23001</v>
      </c>
      <c r="K367" s="111" t="s">
        <v>315</v>
      </c>
      <c r="L367" s="112" t="s">
        <v>70</v>
      </c>
      <c r="M367" s="112" t="s">
        <v>71</v>
      </c>
      <c r="N367" s="111" t="s">
        <v>1086</v>
      </c>
      <c r="O367" s="2" t="s">
        <v>42</v>
      </c>
      <c r="P367" s="49"/>
      <c r="Q367" s="2" t="s">
        <v>44</v>
      </c>
      <c r="R367" s="2" t="s">
        <v>214</v>
      </c>
      <c r="S367" s="51">
        <v>0</v>
      </c>
      <c r="T367" s="51"/>
      <c r="U367" s="113">
        <v>4688200531.1000004</v>
      </c>
      <c r="V367" s="113"/>
      <c r="W367" s="79">
        <f>PROYECTOS_DIH[[#This Row],[VALOR DESEMBOLSOS PROYECTO]]/PROYECTOS_DIH[[#This Row],[Valor Proyecto Inicial.]]</f>
        <v>1</v>
      </c>
      <c r="X367" s="54">
        <v>4688200531.1000004</v>
      </c>
      <c r="Y367" s="54" t="s">
        <v>1180</v>
      </c>
      <c r="Z367" s="55">
        <v>523415</v>
      </c>
      <c r="AA367" s="57" t="s">
        <v>215</v>
      </c>
      <c r="AB367" s="5" t="s">
        <v>1142</v>
      </c>
      <c r="AC367" s="56" t="s">
        <v>62</v>
      </c>
      <c r="AD367" s="59">
        <v>8.7451325910000008</v>
      </c>
      <c r="AE367" s="59">
        <v>-75.875577910000004</v>
      </c>
      <c r="AF367" s="5" t="s">
        <v>145</v>
      </c>
      <c r="AG367" s="71" t="s">
        <v>64</v>
      </c>
    </row>
    <row r="368" spans="1:33" s="99" customFormat="1" ht="11.4" customHeight="1" x14ac:dyDescent="0.3">
      <c r="A368" s="1" t="s">
        <v>34</v>
      </c>
      <c r="B368" s="43">
        <v>356</v>
      </c>
      <c r="C368" s="191">
        <v>17163</v>
      </c>
      <c r="D368" s="19">
        <v>2026</v>
      </c>
      <c r="E368" s="44" t="s">
        <v>35</v>
      </c>
      <c r="F368" s="45" t="s">
        <v>36</v>
      </c>
      <c r="G368" s="46">
        <v>45653</v>
      </c>
      <c r="H368" s="46">
        <v>46441</v>
      </c>
      <c r="I368" s="111" t="s">
        <v>37</v>
      </c>
      <c r="J368" s="48">
        <v>27660</v>
      </c>
      <c r="K368" s="111" t="s">
        <v>1001</v>
      </c>
      <c r="L368" s="112" t="s">
        <v>55</v>
      </c>
      <c r="M368" s="111" t="s">
        <v>332</v>
      </c>
      <c r="N368" s="111" t="s">
        <v>1087</v>
      </c>
      <c r="O368" s="45" t="s">
        <v>42</v>
      </c>
      <c r="P368" s="49"/>
      <c r="Q368" s="45" t="s">
        <v>44</v>
      </c>
      <c r="R368" s="2" t="s">
        <v>214</v>
      </c>
      <c r="S368" s="51">
        <v>0</v>
      </c>
      <c r="T368" s="51"/>
      <c r="U368" s="113">
        <v>2914894162.1900001</v>
      </c>
      <c r="V368" s="113"/>
      <c r="W368" s="79">
        <f>PROYECTOS_DIH[[#This Row],[VALOR DESEMBOLSOS PROYECTO]]/PROYECTOS_DIH[[#This Row],[Valor Proyecto Inicial.]]</f>
        <v>0</v>
      </c>
      <c r="X368" s="54"/>
      <c r="Y368" s="54" t="s">
        <v>1180</v>
      </c>
      <c r="Z368" s="55"/>
      <c r="AA368" s="57" t="s">
        <v>215</v>
      </c>
      <c r="AB368" s="187" t="s">
        <v>1153</v>
      </c>
      <c r="AC368" s="56" t="s">
        <v>96</v>
      </c>
      <c r="AD368" s="59">
        <v>4.89759308</v>
      </c>
      <c r="AE368" s="59">
        <v>-76.232848820000001</v>
      </c>
      <c r="AF368" s="187" t="s">
        <v>330</v>
      </c>
      <c r="AG368" s="77" t="s">
        <v>75</v>
      </c>
    </row>
    <row r="369" spans="1:33" s="99" customFormat="1" ht="11.4" customHeight="1" x14ac:dyDescent="0.3">
      <c r="A369" s="188" t="s">
        <v>34</v>
      </c>
      <c r="B369" s="43">
        <v>358</v>
      </c>
      <c r="C369" s="192">
        <v>1283299</v>
      </c>
      <c r="D369" s="19">
        <v>2026</v>
      </c>
      <c r="E369" s="44" t="s">
        <v>35</v>
      </c>
      <c r="F369" s="45" t="s">
        <v>36</v>
      </c>
      <c r="G369" s="46">
        <v>45653</v>
      </c>
      <c r="H369" s="46">
        <v>46441</v>
      </c>
      <c r="I369" s="112" t="s">
        <v>189</v>
      </c>
      <c r="J369" s="48">
        <v>5411</v>
      </c>
      <c r="K369" s="125" t="s">
        <v>797</v>
      </c>
      <c r="L369" s="112" t="s">
        <v>39</v>
      </c>
      <c r="M369" s="112" t="s">
        <v>212</v>
      </c>
      <c r="N369" s="112" t="s">
        <v>1090</v>
      </c>
      <c r="O369" s="125" t="s">
        <v>42</v>
      </c>
      <c r="P369" s="49"/>
      <c r="Q369" s="45" t="s">
        <v>120</v>
      </c>
      <c r="R369" s="190" t="s">
        <v>1091</v>
      </c>
      <c r="S369" s="51">
        <v>0</v>
      </c>
      <c r="T369" s="51"/>
      <c r="U369" s="113">
        <v>4768233715.6800003</v>
      </c>
      <c r="V369" s="113"/>
      <c r="W369" s="79">
        <f>PROYECTOS_DIH[[#This Row],[VALOR DESEMBOLSOS PROYECTO]]/PROYECTOS_DIH[[#This Row],[Valor Proyecto Inicial.]]</f>
        <v>0</v>
      </c>
      <c r="X369" s="54"/>
      <c r="Y369" s="54" t="s">
        <v>1180</v>
      </c>
      <c r="Z369" s="92">
        <v>1834</v>
      </c>
      <c r="AA369" s="57" t="s">
        <v>215</v>
      </c>
      <c r="AB369" s="5" t="s">
        <v>1149</v>
      </c>
      <c r="AC369" s="56" t="s">
        <v>62</v>
      </c>
      <c r="AD369" s="59">
        <v>6.6773230530000003</v>
      </c>
      <c r="AE369" s="59">
        <v>-75.812832270000001</v>
      </c>
      <c r="AF369" s="5" t="s">
        <v>191</v>
      </c>
      <c r="AG369" s="110" t="s">
        <v>49</v>
      </c>
    </row>
    <row r="370" spans="1:33" s="99" customFormat="1" ht="11.4" customHeight="1" x14ac:dyDescent="0.3">
      <c r="A370" s="188" t="s">
        <v>34</v>
      </c>
      <c r="B370" s="43">
        <v>359</v>
      </c>
      <c r="C370" s="191">
        <v>1653999</v>
      </c>
      <c r="D370" s="19">
        <v>2024</v>
      </c>
      <c r="E370" s="44" t="s">
        <v>35</v>
      </c>
      <c r="F370" s="45" t="s">
        <v>36</v>
      </c>
      <c r="G370" s="46">
        <v>45653</v>
      </c>
      <c r="H370" s="46">
        <v>46441</v>
      </c>
      <c r="I370" s="47" t="s">
        <v>37</v>
      </c>
      <c r="J370" s="48">
        <v>27099</v>
      </c>
      <c r="K370" s="8" t="s">
        <v>359</v>
      </c>
      <c r="L370" s="45" t="s">
        <v>39</v>
      </c>
      <c r="M370" s="62" t="s">
        <v>828</v>
      </c>
      <c r="N370" s="4" t="s">
        <v>1092</v>
      </c>
      <c r="O370" s="49" t="s">
        <v>42</v>
      </c>
      <c r="P370" s="49" t="s">
        <v>43</v>
      </c>
      <c r="Q370" s="49" t="s">
        <v>44</v>
      </c>
      <c r="R370" s="50" t="s">
        <v>1093</v>
      </c>
      <c r="S370" s="51">
        <v>0</v>
      </c>
      <c r="T370" s="51"/>
      <c r="U370" s="159">
        <v>4000000000</v>
      </c>
      <c r="V370" s="159"/>
      <c r="W370" s="53">
        <f>PROYECTOS_DIH[[#This Row],[VALOR DESEMBOLSOS PROYECTO]]/PROYECTOS_DIH[[#This Row],[Valor Proyecto Inicial.]]</f>
        <v>0</v>
      </c>
      <c r="X370" s="54">
        <v>0</v>
      </c>
      <c r="Y370" s="54" t="s">
        <v>1180</v>
      </c>
      <c r="Z370" s="55">
        <v>5000</v>
      </c>
      <c r="AA370" s="57" t="s">
        <v>1094</v>
      </c>
      <c r="AB370" s="5" t="s">
        <v>1153</v>
      </c>
      <c r="AC370" s="56" t="s">
        <v>47</v>
      </c>
      <c r="AD370" s="59">
        <v>6.5562574439999999</v>
      </c>
      <c r="AE370" s="59">
        <v>-76.883469489999996</v>
      </c>
      <c r="AF370" s="5" t="s">
        <v>330</v>
      </c>
      <c r="AG370" s="77" t="s">
        <v>75</v>
      </c>
    </row>
    <row r="371" spans="1:33" s="99" customFormat="1" ht="11.4" customHeight="1" x14ac:dyDescent="0.3">
      <c r="A371" s="20" t="s">
        <v>34</v>
      </c>
      <c r="B371" s="43">
        <v>361</v>
      </c>
      <c r="C371" s="196">
        <v>1685399</v>
      </c>
      <c r="D371" s="19">
        <v>2026</v>
      </c>
      <c r="E371" s="44" t="s">
        <v>35</v>
      </c>
      <c r="F371" s="45" t="s">
        <v>36</v>
      </c>
      <c r="G371" s="46">
        <v>45653</v>
      </c>
      <c r="H371" s="46">
        <v>46441</v>
      </c>
      <c r="I371" s="47" t="s">
        <v>268</v>
      </c>
      <c r="J371" s="48">
        <v>19780</v>
      </c>
      <c r="K371" s="96" t="s">
        <v>883</v>
      </c>
      <c r="L371" s="45" t="s">
        <v>39</v>
      </c>
      <c r="M371" s="45" t="s">
        <v>126</v>
      </c>
      <c r="N371" s="189" t="s">
        <v>1097</v>
      </c>
      <c r="O371" s="49" t="s">
        <v>42</v>
      </c>
      <c r="P371" s="49" t="s">
        <v>132</v>
      </c>
      <c r="Q371" s="49" t="s">
        <v>44</v>
      </c>
      <c r="R371" s="50" t="s">
        <v>699</v>
      </c>
      <c r="S371" s="51">
        <v>0</v>
      </c>
      <c r="T371" s="51"/>
      <c r="U371" s="52">
        <v>3529251887.9400001</v>
      </c>
      <c r="V371" s="52"/>
      <c r="W371" s="53">
        <f>PROYECTOS_DIH[[#This Row],[VALOR DESEMBOLSOS PROYECTO]]/PROYECTOS_DIH[[#This Row],[Valor Proyecto Inicial.]]</f>
        <v>0</v>
      </c>
      <c r="X371" s="54">
        <v>0</v>
      </c>
      <c r="Y371" s="54" t="s">
        <v>1180</v>
      </c>
      <c r="Z371" s="55">
        <v>15000</v>
      </c>
      <c r="AA371" s="57" t="s">
        <v>1098</v>
      </c>
      <c r="AB371" s="5" t="s">
        <v>1138</v>
      </c>
      <c r="AC371" s="56" t="s">
        <v>47</v>
      </c>
      <c r="AD371" s="59">
        <v>2.9597015369999999</v>
      </c>
      <c r="AE371" s="59">
        <v>-76.693447109999994</v>
      </c>
      <c r="AF371" s="5" t="s">
        <v>272</v>
      </c>
      <c r="AG371" s="71" t="s">
        <v>75</v>
      </c>
    </row>
    <row r="372" spans="1:33" ht="11.4" customHeight="1" x14ac:dyDescent="0.2">
      <c r="B372" s="162"/>
      <c r="C372" s="162"/>
      <c r="I372" s="161"/>
      <c r="J372" s="161"/>
    </row>
    <row r="373" spans="1:33" ht="11.4" customHeight="1" x14ac:dyDescent="0.2">
      <c r="I373" s="161"/>
      <c r="J373" s="161"/>
      <c r="U373" s="164">
        <f>U3+U143+U325</f>
        <v>6561051181.6800003</v>
      </c>
      <c r="AA373" s="169" t="s">
        <v>1116</v>
      </c>
      <c r="AB373" s="170"/>
      <c r="AC373" s="170"/>
    </row>
    <row r="374" spans="1:33" ht="11.4" customHeight="1" x14ac:dyDescent="0.2">
      <c r="I374" s="161"/>
      <c r="J374" s="161"/>
    </row>
    <row r="375" spans="1:33" ht="11.4" customHeight="1" x14ac:dyDescent="0.2">
      <c r="I375" s="161"/>
      <c r="J375" s="161"/>
      <c r="U375" s="171" t="s">
        <v>1117</v>
      </c>
      <c r="V375" s="171"/>
      <c r="W375" s="172" t="s">
        <v>1118</v>
      </c>
      <c r="X375" s="21" t="s">
        <v>1119</v>
      </c>
      <c r="Y375" s="22"/>
      <c r="AA375" s="122"/>
      <c r="AB375" s="170"/>
      <c r="AC375" s="170"/>
    </row>
    <row r="376" spans="1:33" ht="11.4" customHeight="1" x14ac:dyDescent="0.2">
      <c r="I376" s="161"/>
      <c r="J376" s="161"/>
      <c r="U376" s="173" t="s">
        <v>53</v>
      </c>
      <c r="V376" s="173"/>
      <c r="W376" s="174" t="s">
        <v>218</v>
      </c>
      <c r="X376" s="175" t="s">
        <v>1120</v>
      </c>
      <c r="Y376" s="176"/>
    </row>
    <row r="377" spans="1:33" ht="11.4" customHeight="1" x14ac:dyDescent="0.2">
      <c r="I377" s="161"/>
      <c r="J377" s="161"/>
      <c r="U377" s="23" t="s">
        <v>166</v>
      </c>
      <c r="V377" s="23"/>
      <c r="W377" s="24" t="s">
        <v>167</v>
      </c>
      <c r="X377" s="25" t="s">
        <v>1121</v>
      </c>
      <c r="Y377" s="26"/>
    </row>
    <row r="378" spans="1:33" ht="11.4" customHeight="1" x14ac:dyDescent="0.2">
      <c r="I378" s="161"/>
      <c r="J378" s="161"/>
      <c r="U378" s="173" t="s">
        <v>201</v>
      </c>
      <c r="V378" s="173"/>
      <c r="W378" s="174" t="s">
        <v>202</v>
      </c>
      <c r="X378" s="175" t="s">
        <v>1120</v>
      </c>
      <c r="Y378" s="176"/>
    </row>
    <row r="379" spans="1:33" ht="11.4" customHeight="1" x14ac:dyDescent="0.2">
      <c r="I379" s="161"/>
      <c r="J379" s="161"/>
      <c r="U379" s="173" t="s">
        <v>201</v>
      </c>
      <c r="V379" s="173"/>
      <c r="W379" s="174" t="s">
        <v>296</v>
      </c>
      <c r="X379" s="175" t="s">
        <v>1120</v>
      </c>
      <c r="Y379" s="176"/>
    </row>
    <row r="380" spans="1:33" ht="11.4" customHeight="1" x14ac:dyDescent="0.2">
      <c r="I380" s="161"/>
      <c r="J380" s="161"/>
      <c r="U380" s="27" t="s">
        <v>1122</v>
      </c>
      <c r="V380" s="27"/>
      <c r="W380" s="177" t="s">
        <v>1123</v>
      </c>
      <c r="X380" s="177"/>
      <c r="Y380" s="178"/>
    </row>
    <row r="381" spans="1:33" ht="11.4" customHeight="1" x14ac:dyDescent="0.2">
      <c r="U381" s="173" t="s">
        <v>176</v>
      </c>
      <c r="V381" s="173"/>
      <c r="W381" s="174" t="s">
        <v>177</v>
      </c>
      <c r="X381" s="179" t="s">
        <v>1124</v>
      </c>
      <c r="Y381" s="180"/>
    </row>
    <row r="382" spans="1:33" ht="11.4" customHeight="1" x14ac:dyDescent="0.2">
      <c r="U382" s="173" t="s">
        <v>268</v>
      </c>
      <c r="V382" s="173"/>
      <c r="W382" s="174" t="s">
        <v>269</v>
      </c>
      <c r="X382" s="175" t="s">
        <v>1125</v>
      </c>
      <c r="Y382" s="176"/>
    </row>
    <row r="383" spans="1:33" ht="11.4" customHeight="1" x14ac:dyDescent="0.2">
      <c r="U383" s="173" t="s">
        <v>160</v>
      </c>
      <c r="V383" s="173"/>
      <c r="W383" s="174" t="s">
        <v>236</v>
      </c>
      <c r="X383" s="181" t="s">
        <v>1121</v>
      </c>
      <c r="Y383" s="182"/>
    </row>
    <row r="384" spans="1:33" ht="11.4" customHeight="1" x14ac:dyDescent="0.2">
      <c r="U384" s="173" t="s">
        <v>183</v>
      </c>
      <c r="V384" s="173"/>
      <c r="W384" s="174" t="s">
        <v>184</v>
      </c>
      <c r="X384" s="28" t="s">
        <v>1126</v>
      </c>
      <c r="Y384" s="29"/>
    </row>
    <row r="385" spans="21:25" ht="11.4" customHeight="1" x14ac:dyDescent="0.2">
      <c r="U385" s="173" t="s">
        <v>1127</v>
      </c>
      <c r="V385" s="173"/>
      <c r="W385" s="174" t="s">
        <v>195</v>
      </c>
      <c r="X385" s="175" t="s">
        <v>1125</v>
      </c>
      <c r="Y385" s="176"/>
    </row>
    <row r="386" spans="21:25" ht="11.4" customHeight="1" x14ac:dyDescent="0.2">
      <c r="U386" s="183" t="s">
        <v>141</v>
      </c>
      <c r="V386" s="183"/>
      <c r="W386" s="184" t="s">
        <v>1128</v>
      </c>
      <c r="X386" s="175" t="s">
        <v>1120</v>
      </c>
      <c r="Y386" s="176"/>
    </row>
    <row r="387" spans="21:25" ht="11.4" customHeight="1" x14ac:dyDescent="0.2">
      <c r="U387" s="185" t="s">
        <v>1129</v>
      </c>
      <c r="V387" s="185"/>
      <c r="W387" s="186" t="s">
        <v>1129</v>
      </c>
      <c r="X387" s="30" t="s">
        <v>120</v>
      </c>
      <c r="Y387" s="31"/>
    </row>
    <row r="388" spans="21:25" ht="11.4" customHeight="1" x14ac:dyDescent="0.2">
      <c r="U388" s="32" t="s">
        <v>1126</v>
      </c>
      <c r="V388" s="32"/>
      <c r="W388" s="30" t="s">
        <v>1130</v>
      </c>
      <c r="X388" s="30" t="s">
        <v>120</v>
      </c>
      <c r="Y388" s="31"/>
    </row>
    <row r="403" spans="15:15" ht="11.4" customHeight="1" x14ac:dyDescent="0.2">
      <c r="O403" s="61" t="s">
        <v>1131</v>
      </c>
    </row>
    <row r="405" spans="15:15" ht="11.4" customHeight="1" x14ac:dyDescent="0.2">
      <c r="O405" s="61" t="s">
        <v>1132</v>
      </c>
    </row>
  </sheetData>
  <sheetProtection autoFilter="0"/>
  <conditionalFormatting sqref="C248">
    <cfRule type="duplicateValues" dxfId="79" priority="4"/>
  </conditionalFormatting>
  <conditionalFormatting sqref="C371 C2:C67">
    <cfRule type="duplicateValues" dxfId="78" priority="11"/>
  </conditionalFormatting>
  <conditionalFormatting sqref="E300:E306 E317:E319 E334:E339 E347:E349 E341:E345 E315 E322:E332 E308:E313">
    <cfRule type="containsText" dxfId="77" priority="3" operator="containsText" text="FALSO">
      <formula>NOT(ISERROR(SEARCH("FALSO",E300)))</formula>
    </cfRule>
  </conditionalFormatting>
  <conditionalFormatting sqref="E351:E361 E363:E371">
    <cfRule type="containsErrors" dxfId="76" priority="2">
      <formula>ISERROR(E351)</formula>
    </cfRule>
  </conditionalFormatting>
  <conditionalFormatting sqref="K4">
    <cfRule type="duplicateValues" dxfId="75" priority="8"/>
  </conditionalFormatting>
  <conditionalFormatting sqref="K2:K35 K37:K67">
    <cfRule type="duplicateValues" dxfId="74" priority="16"/>
  </conditionalFormatting>
  <conditionalFormatting sqref="K1:K3 K5:K35 K37:K67">
    <cfRule type="duplicateValues" dxfId="73" priority="18"/>
  </conditionalFormatting>
  <conditionalFormatting sqref="C1:C369 C371">
    <cfRule type="duplicateValues" dxfId="72" priority="21"/>
  </conditionalFormatting>
  <conditionalFormatting sqref="F2:F371">
    <cfRule type="duplicateValues" dxfId="71" priority="23"/>
  </conditionalFormatting>
  <conditionalFormatting sqref="C370">
    <cfRule type="duplicateValues" dxfId="70" priority="1"/>
  </conditionalFormatting>
  <dataValidations count="11">
    <dataValidation type="list" allowBlank="1" showInputMessage="1" showErrorMessage="1" sqref="P159:P161 P163:P165 P167 P188 P197 P200 P202 P208 P216 P219 P242 P247:P249 P252 P255:P256 P264 P268 P270:P271 P273 P278 P280:P282 P285:P287 P289 P293 P298:P299 P301:P302 P306" xr:uid="{DBD3C7A8-311A-4673-9C2B-53B10AA84B44}">
      <formula1>"PROCESO LICITATORIO,SUSCRITO,EN EJECUCIÓN,SUSPENDIDO,TERMINADO"</formula1>
    </dataValidation>
    <dataValidation type="list" allowBlank="1" showInputMessage="1" showErrorMessage="1" sqref="P162 P170 P193:P194 P213 P246 P257:P258 P261 P265 P269 P277" xr:uid="{AC93726C-54CE-4A09-B624-C82199CFE0C1}">
      <formula1>"ADJUDICADO,SUSCRITO,EN EJECUCIÓN,SUSPENDIDO,TERMINADO"</formula1>
    </dataValidation>
    <dataValidation type="list" allowBlank="1" showInputMessage="1" showErrorMessage="1" sqref="P274:P276 P168:P169 P189:P192 P209:P212 P243:P245 P259:P260 P253:P254 P262:P263 P266:P267 P166 P171:P187 P195:P196 P198:P199 P201 P203:P207 P214:P215 P217:P218 P220:P241 P250:P251 P272 P279 P283:P284 P288 P290:P292 P294:P297 P300 P303:P305 P307:P371 P2:P158" xr:uid="{FA0302DC-C3E5-43A8-BA75-EB274C920FB1}">
      <formula1>"SUSCRITO,EN EJECUCIÓN,SUSPENDIDO,TERMINADO"</formula1>
    </dataValidation>
    <dataValidation type="decimal" allowBlank="1" showInputMessage="1" showErrorMessage="1" sqref="W2:W371" xr:uid="{9A30C809-9D11-44E8-BC13-57FAB147F698}">
      <formula1>0</formula1>
      <formula2>100</formula2>
    </dataValidation>
    <dataValidation type="list" allowBlank="1" showInputMessage="1" showErrorMessage="1" sqref="Q2:Q371" xr:uid="{F4E5ECD5-9378-45D6-80F3-2DA03009E0B5}">
      <formula1>"En Ejecución Fisica,Por Iniciar Ejecución Fisica,Terminado,Entregado,N/A"</formula1>
    </dataValidation>
    <dataValidation allowBlank="1" showInputMessage="1" showErrorMessage="1" sqref="R10:R18 R230 R111 R2:R6" xr:uid="{A78F69A7-49EE-4348-BA43-67DF0FC77118}"/>
    <dataValidation type="list" allowBlank="1" showInputMessage="1" showErrorMessage="1" sqref="L2:L371" xr:uid="{0E7B7C76-9E06-4C89-9D2C-196D64D2CFC9}">
      <formula1>"PRODUCTIVO Y SEG ALIMENTARIA,VÍAS,HÁBITAT, SOCIAL COMUNITARIO"</formula1>
    </dataValidation>
    <dataValidation type="list" allowBlank="1" showInputMessage="1" showErrorMessage="1" sqref="O2:O371" xr:uid="{147D5A57-5A51-431D-AEF6-AAD0C7D51EA1}">
      <formula1>"SUSCRITO,EN EJECUCIÓN,SUSPENDIDO,VENCIDO"</formula1>
    </dataValidation>
    <dataValidation showDropDown="1" showInputMessage="1" showErrorMessage="1" sqref="R26 R19 R37:R40 R42 R44:R47 R201 R9 R52:R53" xr:uid="{CEC8DEFC-81B9-4F33-BD62-E41A38A1FAC0}"/>
    <dataValidation allowBlank="1" showInputMessage="1" showErrorMessage="1" promptTitle="por favor no modificar" sqref="U25:V38 U230:V230 U2:V22 U111:V111 X2:X59 H68:I371 J371 H2:K67 X61:X371 K68:K371 J68:J366 Y2:Y371" xr:uid="{D2803245-8640-4721-ACCA-1F42AFE4F574}"/>
    <dataValidation type="list" allowBlank="1" showInputMessage="1" showErrorMessage="1" sqref="R31 R22 R28 R7" xr:uid="{F8C8A06F-F6B1-42D3-8D38-1D9B3C763E12}">
      <formula1>#REF!</formula1>
    </dataValidation>
  </dataValidations>
  <pageMargins left="0.7" right="0.7" top="0.75" bottom="0.75" header="0.3" footer="0.3"/>
  <pageSetup paperSize="5"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PROYECTOS EJECUCIÓN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Diego Zarta Gonzalez</dc:creator>
  <cp:lastModifiedBy>Juan Diego Zarta Gonzalez</cp:lastModifiedBy>
  <dcterms:created xsi:type="dcterms:W3CDTF">2026-08-26T02:02:05Z</dcterms:created>
  <dcterms:modified xsi:type="dcterms:W3CDTF">2026-08-27T15:24:48Z</dcterms:modified>
</cp:coreProperties>
</file>